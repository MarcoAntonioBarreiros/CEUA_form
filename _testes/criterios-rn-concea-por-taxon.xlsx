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iterios" sheetId="1" state="visible" r:id="rId3"/>
    <sheet name="Contagem" sheetId="2" state="visible" r:id="rId4"/>
    <sheet name="Como usar" sheetId="3" state="visible" r:id="rId5"/>
    <sheet name="Conflitos RN-Anexo" sheetId="4" state="visible" r:id="rId6"/>
    <sheet name="Normas transversais" sheetId="5" state="visible" r:id="rId7"/>
  </sheets>
  <definedNames>
    <definedName function="false" hidden="true" localSheetId="0" name="_xlnm._FilterDatabase" vbProcedure="false">Criterios!$A$1:$L$286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<sst xmlns="http://schemas.openxmlformats.org/spreadsheetml/2006/main" count="2793" uniqueCount="764">
  <si>
    <t xml:space="preserve">ID</t>
  </si>
  <si>
    <t xml:space="preserve">Táxon</t>
  </si>
  <si>
    <t xml:space="preserve">RN</t>
  </si>
  <si>
    <t xml:space="preserve">Dispositivo</t>
  </si>
  <si>
    <t xml:space="preserve">Bloco</t>
  </si>
  <si>
    <t xml:space="preserve">Classificação</t>
  </si>
  <si>
    <t xml:space="preserve">Finalidade</t>
  </si>
  <si>
    <t xml:space="preserve">Restrição de subgrupo</t>
  </si>
  <si>
    <t xml:space="preserve">Escopo operacional CIUCA</t>
  </si>
  <si>
    <t xml:space="preserve">Condição / exceção explícita</t>
  </si>
  <si>
    <t xml:space="preserve">Redação literal</t>
  </si>
  <si>
    <t xml:space="preserve">Nota / divergência</t>
  </si>
  <si>
    <t xml:space="preserve">R57-001</t>
  </si>
  <si>
    <t xml:space="preserve">Roedores e lagomorfos</t>
  </si>
  <si>
    <t xml:space="preserve">RN 57/2022</t>
  </si>
  <si>
    <t xml:space="preserve">art. 2º, I, "a"</t>
  </si>
  <si>
    <t xml:space="preserve">Infraestrutura</t>
  </si>
  <si>
    <t xml:space="preserve">Obrigatório</t>
  </si>
  <si>
    <t xml:space="preserve">criação</t>
  </si>
  <si>
    <t xml:space="preserve">instalações de criação de animais separadas dos biotérios com outras finalidades</t>
  </si>
  <si>
    <t xml:space="preserve">R57-002</t>
  </si>
  <si>
    <t xml:space="preserve">art. 2º, I, "b"</t>
  </si>
  <si>
    <t xml:space="preserve">em caso de edificação que abrigue biotérios com diferentes finalidades</t>
  </si>
  <si>
    <t xml:space="preserve">instalações de criação de animais com áreas físicas e rotinas com barreiras exclusivas, delimitadas e separadas dos biotérios de manutenção e de utilização, em caso de edificação que abrigue biotérios com diferentes finalidades</t>
  </si>
  <si>
    <t xml:space="preserve">R57-003</t>
  </si>
  <si>
    <t xml:space="preserve">art. 2º, I, "c"</t>
  </si>
  <si>
    <t xml:space="preserve">área destinadas à recepção e quarentena, em biotérios de criação, para ingresso de animais</t>
  </si>
  <si>
    <t xml:space="preserve">R57-004</t>
  </si>
  <si>
    <t xml:space="preserve">art. 2º, I, "d"</t>
  </si>
  <si>
    <t xml:space="preserve">todas</t>
  </si>
  <si>
    <t xml:space="preserve">criação; manutenção; utilização</t>
  </si>
  <si>
    <t xml:space="preserve">áreas destinadas à higienização (lavagem, desinfecção ou esterilização de materiais) fisicamente separadas das salas de animais</t>
  </si>
  <si>
    <t xml:space="preserve">R57-005</t>
  </si>
  <si>
    <t xml:space="preserve">art. 2º, I, "e"</t>
  </si>
  <si>
    <t xml:space="preserve">sanitários localizados fora de áreas controladas, em biotérios de criação</t>
  </si>
  <si>
    <t xml:space="preserve">R57-006</t>
  </si>
  <si>
    <t xml:space="preserve">art. 2º, I, "f"</t>
  </si>
  <si>
    <t xml:space="preserve">salas de animais separadas por espécie</t>
  </si>
  <si>
    <t xml:space="preserve">R57-007</t>
  </si>
  <si>
    <t xml:space="preserve">art. 2º, I, "g"</t>
  </si>
  <si>
    <t xml:space="preserve">vestiários</t>
  </si>
  <si>
    <t xml:space="preserve">R57-008</t>
  </si>
  <si>
    <t xml:space="preserve">art. 2º, I, "h"</t>
  </si>
  <si>
    <t xml:space="preserve">criação; manutenção</t>
  </si>
  <si>
    <t xml:space="preserve">sala destinada a eutanásia, separada das salas de animais, em biotérios de criação e manutenção</t>
  </si>
  <si>
    <t xml:space="preserve">R57-009</t>
  </si>
  <si>
    <t xml:space="preserve">art. 2º, I, "i"</t>
  </si>
  <si>
    <t xml:space="preserve">local para estocagem de alimentos e forração, que atenda às recomendações dos fabricantes e que mantenha os materiais sem contato com o piso ou paredes</t>
  </si>
  <si>
    <t xml:space="preserve">R57-010</t>
  </si>
  <si>
    <t xml:space="preserve">art. 2º, I, "j"</t>
  </si>
  <si>
    <t xml:space="preserve">área exclusiva para depósitos de resíduos</t>
  </si>
  <si>
    <t xml:space="preserve">R57-011</t>
  </si>
  <si>
    <t xml:space="preserve">art. 2º, I, "k"</t>
  </si>
  <si>
    <t xml:space="preserve">freezer para acondicionar carcaças de animais</t>
  </si>
  <si>
    <t xml:space="preserve">R57-012</t>
  </si>
  <si>
    <t xml:space="preserve">art. 2º, I, "l"</t>
  </si>
  <si>
    <t xml:space="preserve">paredes, pisos e tetos lisos, livres de rejuntes e reentrâncias, e construídos com materiais que possibilitem higienização e desinfecção</t>
  </si>
  <si>
    <t xml:space="preserve">R57-013</t>
  </si>
  <si>
    <t xml:space="preserve">art. 2º, I, "m"</t>
  </si>
  <si>
    <t xml:space="preserve">ausência de janelas com acesso direto para as salas de animais de laboratório</t>
  </si>
  <si>
    <t xml:space="preserve">R57-014</t>
  </si>
  <si>
    <t xml:space="preserve">art. 2º, I, "n"</t>
  </si>
  <si>
    <t xml:space="preserve">na ausência de grupo gerador próprio</t>
  </si>
  <si>
    <t xml:space="preserve">sistema de monitoramento remoto da ambiência das salas dos animais, na ausência de grupo gerador próprio</t>
  </si>
  <si>
    <t xml:space="preserve">R57-015</t>
  </si>
  <si>
    <t xml:space="preserve">art. 2º, I, "o"</t>
  </si>
  <si>
    <t xml:space="preserve">sistema de iluminação com fotoperíodo regulável nas áreas controladas e salas de animais</t>
  </si>
  <si>
    <t xml:space="preserve">R57-016</t>
  </si>
  <si>
    <t xml:space="preserve">art. 2º, I, "p"</t>
  </si>
  <si>
    <t xml:space="preserve">salas de animais com ventilação, exaustão temperatura e umidade, controladas conforme as características das espécies mantidas no recinto</t>
  </si>
  <si>
    <t xml:space="preserve">R57-017</t>
  </si>
  <si>
    <t xml:space="preserve">art. 2º, I, "q"</t>
  </si>
  <si>
    <t xml:space="preserve">barreiras sanitárias de bioexclusão e biocontenção preconizadas pelo nível de biossegurança da instalação</t>
  </si>
  <si>
    <t xml:space="preserve">R57-018</t>
  </si>
  <si>
    <t xml:space="preserve">art. 2º, II, "a"</t>
  </si>
  <si>
    <t xml:space="preserve">Procedimentos</t>
  </si>
  <si>
    <t xml:space="preserve">manutenção; experimentação</t>
  </si>
  <si>
    <t xml:space="preserve">manutenção; utilização</t>
  </si>
  <si>
    <t xml:space="preserve">exceto animais com estado sanitário conhecido e compatível com o biotério de destino</t>
  </si>
  <si>
    <t xml:space="preserve">ingresso de animais, em biotérios de manutenção e experimentação, por meio de recepção em área de quarentena, exceto com relação aos animais com estado sanitário conhecido e compatível com o biotério de destino, que poderão ser introduzidos diretamente na sala de animais</t>
  </si>
  <si>
    <t xml:space="preserve">R57-019</t>
  </si>
  <si>
    <t xml:space="preserve">art. 2º, II, "b"</t>
  </si>
  <si>
    <t xml:space="preserve">monitoramento com registro das condições ambientais das salas de animais</t>
  </si>
  <si>
    <t xml:space="preserve">R57-020</t>
  </si>
  <si>
    <t xml:space="preserve">art. 2º, II, "c"</t>
  </si>
  <si>
    <t xml:space="preserve">uso de equipamentos de proteção individual preconizados pelo nível de biossegurança da instalação</t>
  </si>
  <si>
    <t xml:space="preserve">R57-021</t>
  </si>
  <si>
    <t xml:space="preserve">art. 2º, II, "d"</t>
  </si>
  <si>
    <t xml:space="preserve">disponibilização de Manual de Procedimentos Operacionais Padrão (POPs) em biotérios de criação</t>
  </si>
  <si>
    <t xml:space="preserve">R57-022</t>
  </si>
  <si>
    <t xml:space="preserve">art. 2º, II, "e"</t>
  </si>
  <si>
    <t xml:space="preserve">exceto casos autorizados pela CEUA ou recomendações clínicas</t>
  </si>
  <si>
    <t xml:space="preserve">alojamento de animais em pares ou grupos, exceto em casos autorizados pela CEUA ou em virtude de recomendações clínicas</t>
  </si>
  <si>
    <t xml:space="preserve">R57-023</t>
  </si>
  <si>
    <t xml:space="preserve">art. 2º, II, "f"</t>
  </si>
  <si>
    <t xml:space="preserve">realização de procedimentos experimentais em local diferente das salas de manutenção e criação de animais</t>
  </si>
  <si>
    <t xml:space="preserve">R57-024</t>
  </si>
  <si>
    <t xml:space="preserve">art. 2º, II, "g"</t>
  </si>
  <si>
    <t xml:space="preserve">adoção de práticas de enriquecimento ambiental</t>
  </si>
  <si>
    <t xml:space="preserve">R57-025</t>
  </si>
  <si>
    <t xml:space="preserve">art. 3º, I</t>
  </si>
  <si>
    <t xml:space="preserve">Recomendado</t>
  </si>
  <si>
    <t xml:space="preserve">área administrativa</t>
  </si>
  <si>
    <t xml:space="preserve">R57-026</t>
  </si>
  <si>
    <t xml:space="preserve">art. 3º, II</t>
  </si>
  <si>
    <t xml:space="preserve">área de recepção de pessoal (usuários e visitantes)</t>
  </si>
  <si>
    <t xml:space="preserve">R57-027</t>
  </si>
  <si>
    <t xml:space="preserve">art. 3º, III</t>
  </si>
  <si>
    <t xml:space="preserve">experimentação</t>
  </si>
  <si>
    <t xml:space="preserve">utilização</t>
  </si>
  <si>
    <t xml:space="preserve">sala destinada a eutanásia, separada das salas de procedimentos, em biotérios de experimentação</t>
  </si>
  <si>
    <t xml:space="preserve">R57-028</t>
  </si>
  <si>
    <t xml:space="preserve">art. 3º, IV</t>
  </si>
  <si>
    <t xml:space="preserve">local para armazenamento de produtos químicos e medicamentos</t>
  </si>
  <si>
    <t xml:space="preserve">R57-029</t>
  </si>
  <si>
    <t xml:space="preserve">art. 3º, V</t>
  </si>
  <si>
    <t xml:space="preserve">grupo gerador próprio para fornecimento emergencial de energia elétrica</t>
  </si>
  <si>
    <t xml:space="preserve">R57-030</t>
  </si>
  <si>
    <t xml:space="preserve">art. 3º, parágrafo único</t>
  </si>
  <si>
    <t xml:space="preserve">é recomendada a realização de controle genético e sanitário</t>
  </si>
  <si>
    <t xml:space="preserve">R59-031</t>
  </si>
  <si>
    <t xml:space="preserve">Cães e gatos</t>
  </si>
  <si>
    <t xml:space="preserve">RN 59/2023</t>
  </si>
  <si>
    <t xml:space="preserve">instalações de criação de animais separadas das instalações com outras finalidades</t>
  </si>
  <si>
    <t xml:space="preserve">R59-032</t>
  </si>
  <si>
    <t xml:space="preserve">instalações de criação de animais com áreas físicas e rotinas com barreiras exclusivas, delimitadas e separadas das instalações de manutenção e de utilização, em caso de edificação que abrigue biotérios com diferentes finalidades</t>
  </si>
  <si>
    <t xml:space="preserve">R59-033</t>
  </si>
  <si>
    <t xml:space="preserve">áreas de alojamento de cães e gatos isoladas acústica e visualmente uma da outra</t>
  </si>
  <si>
    <t xml:space="preserve">R59-034</t>
  </si>
  <si>
    <t xml:space="preserve">ambientes específicos apropriados para os procedimentos experimentais executados na instalação</t>
  </si>
  <si>
    <t xml:space="preserve">R59-035</t>
  </si>
  <si>
    <t xml:space="preserve">áreas de higienização separadas das salas de animais</t>
  </si>
  <si>
    <t xml:space="preserve">R59-036</t>
  </si>
  <si>
    <t xml:space="preserve">sanitários separados das áreas controladas ou de criação</t>
  </si>
  <si>
    <t xml:space="preserve">DIVERGÊNCIA: o Anexo restringe às instalações de criação. Prevalece o artigo.</t>
  </si>
  <si>
    <t xml:space="preserve">R59-037</t>
  </si>
  <si>
    <t xml:space="preserve">alojamentos dimensionados de acordo com as especificidades dos animais</t>
  </si>
  <si>
    <t xml:space="preserve">R59-038</t>
  </si>
  <si>
    <t xml:space="preserve">área para eutanásia separada do alojamento dos animais</t>
  </si>
  <si>
    <t xml:space="preserve">R59-039</t>
  </si>
  <si>
    <t xml:space="preserve">R59-040</t>
  </si>
  <si>
    <t xml:space="preserve">área exclusiva para depósitos de materiais</t>
  </si>
  <si>
    <t xml:space="preserve">R59-041</t>
  </si>
  <si>
    <t xml:space="preserve">freezer para acondicionamento de carcaças</t>
  </si>
  <si>
    <t xml:space="preserve">R59-042</t>
  </si>
  <si>
    <t xml:space="preserve">paredes, pisos e tetos das instalações revestidos por materiais que possibilitem higienização e desinfecção</t>
  </si>
  <si>
    <t xml:space="preserve">R59-043</t>
  </si>
  <si>
    <t xml:space="preserve">controle de temperatura e umidade nas instalações animais</t>
  </si>
  <si>
    <t xml:space="preserve">R59-044</t>
  </si>
  <si>
    <t xml:space="preserve">em instalações fechadas</t>
  </si>
  <si>
    <t xml:space="preserve">controle de trocas de ar e da iluminação com ciclo claro escuro, em instalações fechadas, seguindo especificações do Guia Brasileiro do CONCEA</t>
  </si>
  <si>
    <t xml:space="preserve">R59-045</t>
  </si>
  <si>
    <t xml:space="preserve">área dedicada para quarentena</t>
  </si>
  <si>
    <t xml:space="preserve">R59-046</t>
  </si>
  <si>
    <t xml:space="preserve">Cães</t>
  </si>
  <si>
    <t xml:space="preserve">recinto primário com parte do espaço coberto em instalações específicas para cães</t>
  </si>
  <si>
    <t xml:space="preserve">R59-047</t>
  </si>
  <si>
    <t xml:space="preserve">instalações de criação de cães com áreas definidas para recreação e descanso noturno dos animais</t>
  </si>
  <si>
    <t xml:space="preserve">R59-048</t>
  </si>
  <si>
    <t xml:space="preserve">art. 2º, I, "r"</t>
  </si>
  <si>
    <t xml:space="preserve">Gatos</t>
  </si>
  <si>
    <t xml:space="preserve">instalações para gatos organizadas em zonas principais e periféricas</t>
  </si>
  <si>
    <t xml:space="preserve">R59-049</t>
  </si>
  <si>
    <t xml:space="preserve">art. 2º, I, "s"</t>
  </si>
  <si>
    <t xml:space="preserve">baias de acasalamento isoladas de outros animais em instalações para gatos</t>
  </si>
  <si>
    <t xml:space="preserve">R59-050</t>
  </si>
  <si>
    <t xml:space="preserve">art. 2º, I, "t"</t>
  </si>
  <si>
    <t xml:space="preserve">R59-051</t>
  </si>
  <si>
    <t xml:space="preserve">equipamentos de proteção individual preconizados pelo nível de biossegurança da instalação</t>
  </si>
  <si>
    <t xml:space="preserve">R59-052</t>
  </si>
  <si>
    <t xml:space="preserve">enriquecimento ambiental</t>
  </si>
  <si>
    <t xml:space="preserve">R59-053</t>
  </si>
  <si>
    <t xml:space="preserve">exceto casos autorizados pela CEUA ou condições clínicas</t>
  </si>
  <si>
    <t xml:space="preserve">alojamento em pares ou grupos, em instalações para cães, exceto em casos autorizados pela CEUA ou devido a condições clínicas</t>
  </si>
  <si>
    <t xml:space="preserve">R59-054</t>
  </si>
  <si>
    <t xml:space="preserve">contato visual entre os animais nas instalações para cães</t>
  </si>
  <si>
    <t xml:space="preserve">R59-055</t>
  </si>
  <si>
    <t xml:space="preserve">R59-056</t>
  </si>
  <si>
    <t xml:space="preserve">área de recepção de animais e avaliação (triagem)</t>
  </si>
  <si>
    <t xml:space="preserve">R59-057</t>
  </si>
  <si>
    <t xml:space="preserve">sala de procedimentos clínicos</t>
  </si>
  <si>
    <t xml:space="preserve">R59-058</t>
  </si>
  <si>
    <t xml:space="preserve">sala de descanso e copa</t>
  </si>
  <si>
    <t xml:space="preserve">R59-059</t>
  </si>
  <si>
    <t xml:space="preserve">corredores com as dimensões de acordo com especificações do Guia Brasileiro do CONCEA</t>
  </si>
  <si>
    <t xml:space="preserve">R59-060</t>
  </si>
  <si>
    <t xml:space="preserve">art. 3º, VI</t>
  </si>
  <si>
    <t xml:space="preserve">lavanderia própria</t>
  </si>
  <si>
    <t xml:space="preserve">R59-061</t>
  </si>
  <si>
    <t xml:space="preserve">art. 3º, VII</t>
  </si>
  <si>
    <t xml:space="preserve">R59-062</t>
  </si>
  <si>
    <t xml:space="preserve">art. 3º, VIII</t>
  </si>
  <si>
    <t xml:space="preserve">R59-063</t>
  </si>
  <si>
    <t xml:space="preserve">art. 3º, IX</t>
  </si>
  <si>
    <t xml:space="preserve">luminárias e interruptores vedados ou aterrados</t>
  </si>
  <si>
    <t xml:space="preserve">R59-064</t>
  </si>
  <si>
    <t xml:space="preserve">art. 3º, X</t>
  </si>
  <si>
    <t xml:space="preserve">controle de ruídos e vibrações</t>
  </si>
  <si>
    <t xml:space="preserve">R59-065</t>
  </si>
  <si>
    <t xml:space="preserve">art. 3º, XI</t>
  </si>
  <si>
    <t xml:space="preserve">vestiário</t>
  </si>
  <si>
    <t xml:space="preserve">R59-066</t>
  </si>
  <si>
    <t xml:space="preserve">art. 3º, XII</t>
  </si>
  <si>
    <t xml:space="preserve">controle dos parâmetros ambientais, genéticos, sanitários e de bem-estar, em instalações de criação</t>
  </si>
  <si>
    <t xml:space="preserve">R59-067</t>
  </si>
  <si>
    <t xml:space="preserve">art. 3º, XIII</t>
  </si>
  <si>
    <t xml:space="preserve">manual de Procedimentos Operacionais Padrão (POPs), em instalações de criação</t>
  </si>
  <si>
    <t xml:space="preserve">R60-068</t>
  </si>
  <si>
    <t xml:space="preserve">Primatas não humanos</t>
  </si>
  <si>
    <t xml:space="preserve">RN 60/2023</t>
  </si>
  <si>
    <t xml:space="preserve">Único táxon em que a área administrativa é obrigatória.</t>
  </si>
  <si>
    <t xml:space="preserve">R60-069</t>
  </si>
  <si>
    <t xml:space="preserve">sanitários fora de áreas controladas e das instalações animais</t>
  </si>
  <si>
    <t xml:space="preserve">R60-070</t>
  </si>
  <si>
    <t xml:space="preserve">cozinha em área limpa conforme especificações do Guia Brasileiro do CONCEA</t>
  </si>
  <si>
    <t xml:space="preserve">R60-071</t>
  </si>
  <si>
    <t xml:space="preserve">barreiras contra contaminantes ou pragas na área externa da instalação</t>
  </si>
  <si>
    <t xml:space="preserve">R60-072</t>
  </si>
  <si>
    <t xml:space="preserve">área de Quarentena</t>
  </si>
  <si>
    <t xml:space="preserve">R60-073</t>
  </si>
  <si>
    <t xml:space="preserve">área de Eutanásia separada das demais áreas</t>
  </si>
  <si>
    <t xml:space="preserve">R60-074</t>
  </si>
  <si>
    <t xml:space="preserve">área de higienização</t>
  </si>
  <si>
    <t xml:space="preserve">R60-075</t>
  </si>
  <si>
    <t xml:space="preserve">depósito exclusivo para alimentos não perecíveis e perecíveis</t>
  </si>
  <si>
    <t xml:space="preserve">R60-076</t>
  </si>
  <si>
    <t xml:space="preserve">depósito exclusivo para resíduos biológicos</t>
  </si>
  <si>
    <t xml:space="preserve">R60-077</t>
  </si>
  <si>
    <t xml:space="preserve">instalações animais de alvenaria e concreto com ambientes seguros, que evitem fugas</t>
  </si>
  <si>
    <t xml:space="preserve">R60-078</t>
  </si>
  <si>
    <t xml:space="preserve">paredes, pisos e tetos lisos, livres de rejuntes e reentrâncias em materiais que possibilitem higienização e desinfecção</t>
  </si>
  <si>
    <t xml:space="preserve">R60-079</t>
  </si>
  <si>
    <t xml:space="preserve">recintos com telas que contenham a espécie alojada e que possuam grades metálicas, conforme especificações do Guia Brasileiro do CONCEA</t>
  </si>
  <si>
    <t xml:space="preserve">R60-080</t>
  </si>
  <si>
    <t xml:space="preserve">gaiolas que forneçam abrigo (refúgio) e dispostas de maneira que não haja agressões entre os animais</t>
  </si>
  <si>
    <t xml:space="preserve">R60-081</t>
  </si>
  <si>
    <t xml:space="preserve">recintos de animais com ventilação, exaustão, temperatura e umidade controladas, conforme as características das espécies</t>
  </si>
  <si>
    <t xml:space="preserve">R60-082</t>
  </si>
  <si>
    <t xml:space="preserve">sistema de iluminação com fotoperíodo regulável nas áreas controladas e nos recintos de animais</t>
  </si>
  <si>
    <t xml:space="preserve">R60-083</t>
  </si>
  <si>
    <t xml:space="preserve">controle de ruídos</t>
  </si>
  <si>
    <t xml:space="preserve">R60-084</t>
  </si>
  <si>
    <t xml:space="preserve">pisos que permitam a drenagem com ralos sifonados mantidos fechados</t>
  </si>
  <si>
    <t xml:space="preserve">R60-085</t>
  </si>
  <si>
    <t xml:space="preserve">recintos ventilados e isolados</t>
  </si>
  <si>
    <t xml:space="preserve">R60-086</t>
  </si>
  <si>
    <t xml:space="preserve">recinto com poleiros, barreiras visuais, refúgios, provisão de alimentos, água e abrigo, que evitem monopolização de recursos por animais dominantes</t>
  </si>
  <si>
    <t xml:space="preserve">R60-087</t>
  </si>
  <si>
    <t xml:space="preserve">abrigos construídos com uma abertura suficiente para que os animais possam entrar com filhotes nas costas</t>
  </si>
  <si>
    <t xml:space="preserve">R60-088</t>
  </si>
  <si>
    <t xml:space="preserve">art. 2º, I, "u"</t>
  </si>
  <si>
    <t xml:space="preserve">recintos com espaço suficiente para que os animais possam realizar suas necessidades fisiológicas e comportamentais</t>
  </si>
  <si>
    <t xml:space="preserve">R60-089</t>
  </si>
  <si>
    <t xml:space="preserve">art. 2º, I, "v"</t>
  </si>
  <si>
    <t xml:space="preserve">dimensões dos alojamentos das espécies de acordo com especificações do Guia Brasileiro do CONCEA</t>
  </si>
  <si>
    <t xml:space="preserve">R60-090</t>
  </si>
  <si>
    <t xml:space="preserve">art. 2º, I, "w"</t>
  </si>
  <si>
    <t xml:space="preserve">alojamentos dos ambientes de criação ou de manutenção compostos por recintos complexos e estimulantes</t>
  </si>
  <si>
    <t xml:space="preserve">R60-091</t>
  </si>
  <si>
    <t xml:space="preserve">art. 2º, I, "x"</t>
  </si>
  <si>
    <t xml:space="preserve">R60-092</t>
  </si>
  <si>
    <t xml:space="preserve">recintos mantidos secos e limpos</t>
  </si>
  <si>
    <t xml:space="preserve">R60-093</t>
  </si>
  <si>
    <t xml:space="preserve">alojamento em pares ou grupos, exceto em casos autorizados pela CEUA ou devido a condições clínicas</t>
  </si>
  <si>
    <t xml:space="preserve">R60-094</t>
  </si>
  <si>
    <t xml:space="preserve">exceto se justificado</t>
  </si>
  <si>
    <t xml:space="preserve">enriquecimento ambiental, exceto se justificado</t>
  </si>
  <si>
    <t xml:space="preserve">R60-095</t>
  </si>
  <si>
    <t xml:space="preserve">registro das vacinas e medicações utilizadas nos animais</t>
  </si>
  <si>
    <t xml:space="preserve">R60-096</t>
  </si>
  <si>
    <t xml:space="preserve">gerenciamento de resíduos sólidos de acordo com a legislação vigente</t>
  </si>
  <si>
    <t xml:space="preserve">R60-097</t>
  </si>
  <si>
    <t xml:space="preserve">manual de Procedimentos Operacionais Padrão (POPs)</t>
  </si>
  <si>
    <t xml:space="preserve">R60-098</t>
  </si>
  <si>
    <t xml:space="preserve">R60-099</t>
  </si>
  <si>
    <t xml:space="preserve">sala de arquivos e sala de reuniões</t>
  </si>
  <si>
    <t xml:space="preserve">R60-100</t>
  </si>
  <si>
    <t xml:space="preserve">calçadas circundantes dos recintos, conforme especificações do Guia Brasileiro do CONCEA</t>
  </si>
  <si>
    <t xml:space="preserve">R60-101</t>
  </si>
  <si>
    <t xml:space="preserve">depósito de equipamentos e materiais</t>
  </si>
  <si>
    <t xml:space="preserve">R60-102</t>
  </si>
  <si>
    <t xml:space="preserve">alojamentos externos distantes de centros urbanos, em área arborizada</t>
  </si>
  <si>
    <t xml:space="preserve">R60-103</t>
  </si>
  <si>
    <t xml:space="preserve">portas das salas de materiais laváveis e resistentes e dotadas de visores</t>
  </si>
  <si>
    <t xml:space="preserve">R61-104</t>
  </si>
  <si>
    <t xml:space="preserve">Peixes</t>
  </si>
  <si>
    <t xml:space="preserve">RN 61/2023</t>
  </si>
  <si>
    <t xml:space="preserve">alojamento em tanques escavados, tanques de lona, aquários ou caixas ou tanques rede, de acordo com especificações do Guia Brasileiro do CONCEA</t>
  </si>
  <si>
    <t xml:space="preserve">R61-105</t>
  </si>
  <si>
    <t xml:space="preserve">tanque para quarentena</t>
  </si>
  <si>
    <t xml:space="preserve">R61-106</t>
  </si>
  <si>
    <t xml:space="preserve">depósito de alimentos que atendam às recomendações dos fabricantes</t>
  </si>
  <si>
    <t xml:space="preserve">R61-107</t>
  </si>
  <si>
    <t xml:space="preserve">freezer para acondicionar carcaças</t>
  </si>
  <si>
    <t xml:space="preserve">R61-108</t>
  </si>
  <si>
    <t xml:space="preserve">OMITIDO no Anexo II</t>
  </si>
  <si>
    <t xml:space="preserve">R61-109</t>
  </si>
  <si>
    <t xml:space="preserve">controle de iluminação</t>
  </si>
  <si>
    <t xml:space="preserve">R61-110</t>
  </si>
  <si>
    <t xml:space="preserve">controle de temperatura</t>
  </si>
  <si>
    <t xml:space="preserve">R61-111</t>
  </si>
  <si>
    <t xml:space="preserve">Peixes de laboratório</t>
  </si>
  <si>
    <t xml:space="preserve">sistema de abastecimento de água e reservatório de armazenamento para peixes de laboratório</t>
  </si>
  <si>
    <t xml:space="preserve">R61-112</t>
  </si>
  <si>
    <t xml:space="preserve">bomba de renovação e abastecimento de água dos aquários</t>
  </si>
  <si>
    <t xml:space="preserve">R61-113</t>
  </si>
  <si>
    <t xml:space="preserve">controle de efluentes dos alojamentos</t>
  </si>
  <si>
    <t xml:space="preserve">R61-114</t>
  </si>
  <si>
    <t xml:space="preserve">condições de alojamento conforme as especificações do Guia Brasileiro do CONCEA</t>
  </si>
  <si>
    <t xml:space="preserve">R61-115</t>
  </si>
  <si>
    <t xml:space="preserve">controle de filtragem, pH, oxigênio dissolvido, salinidade e níveis de amônia e nitrito da água dos tanques e aquários de manutenção de acordo com especificações do CONCEA</t>
  </si>
  <si>
    <t xml:space="preserve">O Anexo I traz 'amônia e dureza'; o artigo não menciona dureza. Prevalece o artigo.</t>
  </si>
  <si>
    <t xml:space="preserve">R61-116</t>
  </si>
  <si>
    <t xml:space="preserve">captura dos animais de acordo com a legislação</t>
  </si>
  <si>
    <t xml:space="preserve">R61-117</t>
  </si>
  <si>
    <t xml:space="preserve">controle de densidade na estocagem de acordo com a espécie</t>
  </si>
  <si>
    <t xml:space="preserve">R61-118</t>
  </si>
  <si>
    <t xml:space="preserve">controle de patógenos nos aquários de peixes de laboratório</t>
  </si>
  <si>
    <t xml:space="preserve">R61-119</t>
  </si>
  <si>
    <t xml:space="preserve">alimentação de acordo com a fase de desenvolvimento dos animais e hábito alimentar da espécie</t>
  </si>
  <si>
    <t xml:space="preserve">R61-120</t>
  </si>
  <si>
    <t xml:space="preserve">R61-121</t>
  </si>
  <si>
    <t xml:space="preserve">R61-122</t>
  </si>
  <si>
    <t xml:space="preserve">equipamentos de proteção individual que atendam ao nível de biossegurança da instalação</t>
  </si>
  <si>
    <t xml:space="preserve">R61-123</t>
  </si>
  <si>
    <t xml:space="preserve">R61-124</t>
  </si>
  <si>
    <t xml:space="preserve">área de recepção de pessoal</t>
  </si>
  <si>
    <t xml:space="preserve">R61-125</t>
  </si>
  <si>
    <t xml:space="preserve">área para recepção de animais</t>
  </si>
  <si>
    <t xml:space="preserve">R61-126</t>
  </si>
  <si>
    <t xml:space="preserve">R61-127</t>
  </si>
  <si>
    <t xml:space="preserve">depósito de produtos químicos e medicamentos</t>
  </si>
  <si>
    <t xml:space="preserve">R61-128</t>
  </si>
  <si>
    <t xml:space="preserve">R61-129</t>
  </si>
  <si>
    <t xml:space="preserve">área de quarentena para peixes de laboratório</t>
  </si>
  <si>
    <t xml:space="preserve">R61-130</t>
  </si>
  <si>
    <t xml:space="preserve">área de higienização separada fisicamente das salas de animais para peixes de laboratório</t>
  </si>
  <si>
    <t xml:space="preserve">R61-131</t>
  </si>
  <si>
    <t xml:space="preserve">sanitários fora das áreas controladas para peixes de laboratório</t>
  </si>
  <si>
    <t xml:space="preserve">R61-132</t>
  </si>
  <si>
    <t xml:space="preserve">controle de nitrato na água dos tanques de manutenção</t>
  </si>
  <si>
    <t xml:space="preserve">R62-133</t>
  </si>
  <si>
    <t xml:space="preserve">Anfíbios</t>
  </si>
  <si>
    <t xml:space="preserve">RN 62/2023</t>
  </si>
  <si>
    <t xml:space="preserve">alojamentos com dimensões e características de acordo com as especificações do Guia Brasileiro do CONCEA</t>
  </si>
  <si>
    <t xml:space="preserve">R62-134</t>
  </si>
  <si>
    <t xml:space="preserve">controle de iluminação, umidade e temperatura</t>
  </si>
  <si>
    <t xml:space="preserve">R62-135</t>
  </si>
  <si>
    <t xml:space="preserve">art. 2º, II</t>
  </si>
  <si>
    <t xml:space="preserve">R62-136</t>
  </si>
  <si>
    <t xml:space="preserve">registro da frequência da alimentação dos animais</t>
  </si>
  <si>
    <t xml:space="preserve">DIVERGÊNCIA: o Anexo classifica como Obrigatório. Prevalece o artigo.</t>
  </si>
  <si>
    <t xml:space="preserve">R62-137</t>
  </si>
  <si>
    <t xml:space="preserve">registro de higienização dos recintos dos animais</t>
  </si>
  <si>
    <t xml:space="preserve">R62-138</t>
  </si>
  <si>
    <t xml:space="preserve">R62-139</t>
  </si>
  <si>
    <t xml:space="preserve">Serpentes</t>
  </si>
  <si>
    <t xml:space="preserve">art. 4º, I, "a"</t>
  </si>
  <si>
    <t xml:space="preserve">alojamentos que promovam o bem-estar, com controle de temperatura, umidade, ciclos de luz e trocas de ar e com dimensões e características de acordo com as especificações do Guia Brasileiro do CONCEA</t>
  </si>
  <si>
    <t xml:space="preserve">R62-140</t>
  </si>
  <si>
    <t xml:space="preserve">art. 4º, I, "b"</t>
  </si>
  <si>
    <t xml:space="preserve">fonte de água corrente ou reposição diária no interior da gaiola</t>
  </si>
  <si>
    <t xml:space="preserve">R62-141</t>
  </si>
  <si>
    <t xml:space="preserve">art. 4º, I, "c"</t>
  </si>
  <si>
    <t xml:space="preserve">em serpentários abertos</t>
  </si>
  <si>
    <t xml:space="preserve">fonte de calor artificial em serpentários abertos</t>
  </si>
  <si>
    <t xml:space="preserve">R62-142</t>
  </si>
  <si>
    <t xml:space="preserve">art. 4º, I, "d"</t>
  </si>
  <si>
    <t xml:space="preserve">recintos dos animais abrigados da luz solar</t>
  </si>
  <si>
    <t xml:space="preserve">R62-143</t>
  </si>
  <si>
    <t xml:space="preserve">art. 4º, I, "e"</t>
  </si>
  <si>
    <t xml:space="preserve">serpentário aberto ou semiaberto</t>
  </si>
  <si>
    <t xml:space="preserve">serpentário aberto ou semiaberto com espécies típicas da região da instalação ou de locais com características climáticas semelhantes</t>
  </si>
  <si>
    <t xml:space="preserve">R62-144</t>
  </si>
  <si>
    <t xml:space="preserve">art. 4º, I, "f"</t>
  </si>
  <si>
    <t xml:space="preserve">ambientes que reproduzem o habitat natural da espécie</t>
  </si>
  <si>
    <t xml:space="preserve">R62-145</t>
  </si>
  <si>
    <t xml:space="preserve">art. 4º, II, "a"</t>
  </si>
  <si>
    <t xml:space="preserve">registro de alimentação dos animais</t>
  </si>
  <si>
    <t xml:space="preserve">R62-146</t>
  </si>
  <si>
    <t xml:space="preserve">art. 4º, II, "b"</t>
  </si>
  <si>
    <t xml:space="preserve">identificação dos animais</t>
  </si>
  <si>
    <t xml:space="preserve">R62-147</t>
  </si>
  <si>
    <t xml:space="preserve">art. 4º, II, "c"</t>
  </si>
  <si>
    <t xml:space="preserve">inspeção e registro diários das condições físicas e de bem-estar dos animais</t>
  </si>
  <si>
    <t xml:space="preserve">R62-148</t>
  </si>
  <si>
    <t xml:space="preserve">art. 4º, II, "d"</t>
  </si>
  <si>
    <t xml:space="preserve">R62-149</t>
  </si>
  <si>
    <t xml:space="preserve">art. 4º, II, "e"</t>
  </si>
  <si>
    <t xml:space="preserve">níveis de biossegurança das áreas da instalação de acordo com o risco biológico das atividades realizadas</t>
  </si>
  <si>
    <t xml:space="preserve">R62-150</t>
  </si>
  <si>
    <t xml:space="preserve">art. 5º, I</t>
  </si>
  <si>
    <t xml:space="preserve">área de quarentena</t>
  </si>
  <si>
    <t xml:space="preserve">R62-151</t>
  </si>
  <si>
    <t xml:space="preserve">art. 5º, II</t>
  </si>
  <si>
    <t xml:space="preserve">ambulatório e centro cirúrgico</t>
  </si>
  <si>
    <t xml:space="preserve">R62-152</t>
  </si>
  <si>
    <t xml:space="preserve">art. 5º, III</t>
  </si>
  <si>
    <t xml:space="preserve">R62-153</t>
  </si>
  <si>
    <t xml:space="preserve">art. 5º, IV</t>
  </si>
  <si>
    <t xml:space="preserve">R62-154</t>
  </si>
  <si>
    <t xml:space="preserve">art. 5º, V</t>
  </si>
  <si>
    <t xml:space="preserve">R62-155</t>
  </si>
  <si>
    <t xml:space="preserve">art. 5º, VI</t>
  </si>
  <si>
    <t xml:space="preserve">depósito para materiais</t>
  </si>
  <si>
    <t xml:space="preserve">R62-156</t>
  </si>
  <si>
    <t xml:space="preserve">art. 5º, VII</t>
  </si>
  <si>
    <t xml:space="preserve">área de higienização separada da área de manutenção de animais</t>
  </si>
  <si>
    <t xml:space="preserve">R63-157</t>
  </si>
  <si>
    <t xml:space="preserve">Pequenos ruminantes</t>
  </si>
  <si>
    <t xml:space="preserve">RN 63/2023</t>
  </si>
  <si>
    <t xml:space="preserve">local para descarte de carcaças, de acordo com as especificações do Guia Brasileiro do CONCEA</t>
  </si>
  <si>
    <t xml:space="preserve">R63-158</t>
  </si>
  <si>
    <t xml:space="preserve">área de eutanásia separada das demais instalações</t>
  </si>
  <si>
    <t xml:space="preserve">R63-159</t>
  </si>
  <si>
    <t xml:space="preserve">dimensionamento dos alojamentos de acordo com as especificidades dos animais</t>
  </si>
  <si>
    <t xml:space="preserve">R63-160</t>
  </si>
  <si>
    <t xml:space="preserve">paredes internas do curral, do brete e do tronco de contenção, lisas e livres de saliências ou elementos pontiagudos</t>
  </si>
  <si>
    <t xml:space="preserve">R63-161</t>
  </si>
  <si>
    <t xml:space="preserve">depósitos exclusivos para ração, forragem e cama</t>
  </si>
  <si>
    <t xml:space="preserve">R63-162</t>
  </si>
  <si>
    <t xml:space="preserve">armazenamento de ração sem contato com o piso ou paredes</t>
  </si>
  <si>
    <t xml:space="preserve">R63-163</t>
  </si>
  <si>
    <t xml:space="preserve">depósitos exclusivos de produtos químicos e medicamentos</t>
  </si>
  <si>
    <t xml:space="preserve">R63-164</t>
  </si>
  <si>
    <t xml:space="preserve">depósitos exclusivos de resíduos isolados das demais áreas</t>
  </si>
  <si>
    <t xml:space="preserve">R63-165</t>
  </si>
  <si>
    <t xml:space="preserve">áreas com sombreamento e cochos para fornecimento de alimento, sal mineral (suplementos) e água</t>
  </si>
  <si>
    <t xml:space="preserve">R63-166</t>
  </si>
  <si>
    <t xml:space="preserve">cercas de materiais que evitem risco de ferimentos</t>
  </si>
  <si>
    <t xml:space="preserve">R63-167</t>
  </si>
  <si>
    <t xml:space="preserve">baias hospitalares compatíveis e de acordo com as especificações do Guia Brasileiro do CONCEA</t>
  </si>
  <si>
    <t xml:space="preserve">R63-168</t>
  </si>
  <si>
    <t xml:space="preserve">animais geneticamente modificados</t>
  </si>
  <si>
    <t xml:space="preserve">áreas de alojamento de animais geneticamente modificados fisicamente separadas de outras áreas e com acesso restrito</t>
  </si>
  <si>
    <t xml:space="preserve">R63-169</t>
  </si>
  <si>
    <t xml:space="preserve">quando existentes</t>
  </si>
  <si>
    <t xml:space="preserve">gaiolas metabólicas (quando existentes) adequadas à espécie e de uso exclusivo durante a realização dos estudos metabólicos</t>
  </si>
  <si>
    <t xml:space="preserve">R63-170</t>
  </si>
  <si>
    <t xml:space="preserve">câmaras climáticas e respirométricas (quando existentes) equipadas com sistemas de exaustão, renovação e recirculação de ar</t>
  </si>
  <si>
    <t xml:space="preserve">R63-171</t>
  </si>
  <si>
    <t xml:space="preserve">controle de plantas tóxicas</t>
  </si>
  <si>
    <t xml:space="preserve">R63-172</t>
  </si>
  <si>
    <t xml:space="preserve">plano de gerenciamento de resíduos sólidos de acordo com a legislação vigente</t>
  </si>
  <si>
    <t xml:space="preserve">R63-173</t>
  </si>
  <si>
    <t xml:space="preserve">R63-174</t>
  </si>
  <si>
    <t xml:space="preserve">áreas destinadas à recepção</t>
  </si>
  <si>
    <t xml:space="preserve">R63-175</t>
  </si>
  <si>
    <t xml:space="preserve">área de quarentena de acordo com as especificações do Guia Brasileiro do CONCEA</t>
  </si>
  <si>
    <t xml:space="preserve">R63-176</t>
  </si>
  <si>
    <t xml:space="preserve">paredes, pisos e tetos de materiais que permitam a limpeza e desinfecção</t>
  </si>
  <si>
    <t xml:space="preserve">R63-177</t>
  </si>
  <si>
    <t xml:space="preserve">sempre que necessário</t>
  </si>
  <si>
    <t xml:space="preserve">instalações com áreas destinadas a funções específicas, sempre que necessário, de acordo com as especificações do Guia Brasileiro do CONCEA</t>
  </si>
  <si>
    <t xml:space="preserve">R63-178</t>
  </si>
  <si>
    <t xml:space="preserve">instalações amplas arejadas e com proteção para intempéries</t>
  </si>
  <si>
    <t xml:space="preserve">R63-179</t>
  </si>
  <si>
    <t xml:space="preserve">curral de manejo compartimentado e separado por porteiras</t>
  </si>
  <si>
    <t xml:space="preserve">R63-180</t>
  </si>
  <si>
    <t xml:space="preserve">curral com cobertura total ou parcial</t>
  </si>
  <si>
    <t xml:space="preserve">R63-181</t>
  </si>
  <si>
    <t xml:space="preserve">corredor do tipo seringa</t>
  </si>
  <si>
    <t xml:space="preserve">R63-182</t>
  </si>
  <si>
    <t xml:space="preserve">baias destinadas aos reprodutores em local afastado do aprisco do rebanho geral</t>
  </si>
  <si>
    <t xml:space="preserve">R63-183</t>
  </si>
  <si>
    <t xml:space="preserve">câmara fria ou freezer para acondicionamento de carcaças</t>
  </si>
  <si>
    <t xml:space="preserve">R63-184</t>
  </si>
  <si>
    <t xml:space="preserve">terreno dos piquetes com drenagem de acordo com as especificações do Guia Brasileiro do CONCEA</t>
  </si>
  <si>
    <t xml:space="preserve">A RN numera dois incisos como XII (erro de numeração na fonte).</t>
  </si>
  <si>
    <t xml:space="preserve">R63-185</t>
  </si>
  <si>
    <t xml:space="preserve">art. 3º, XII (bis)</t>
  </si>
  <si>
    <t xml:space="preserve">área cirúrgica em ambiente fechado dotada de brete de contenção</t>
  </si>
  <si>
    <t xml:space="preserve">R63-186</t>
  </si>
  <si>
    <t xml:space="preserve">lotação animal de acordo com a disponibilidade de água e pastagem</t>
  </si>
  <si>
    <t xml:space="preserve">R63-187</t>
  </si>
  <si>
    <t xml:space="preserve">art. 3º, XIV</t>
  </si>
  <si>
    <t xml:space="preserve">Procedimentos Operacionais Padrão (POPs)</t>
  </si>
  <si>
    <t xml:space="preserve">R64-188</t>
  </si>
  <si>
    <t xml:space="preserve">Grandes ruminantes (bovinos e bubalinos)</t>
  </si>
  <si>
    <t xml:space="preserve">RN 64/2023</t>
  </si>
  <si>
    <t xml:space="preserve">equipamentos de uso exclusivo na instalação de criação</t>
  </si>
  <si>
    <t xml:space="preserve">R64-189</t>
  </si>
  <si>
    <t xml:space="preserve">R64-190</t>
  </si>
  <si>
    <t xml:space="preserve">instalações com áreas destinadas a funções específicas, sempre que necessário</t>
  </si>
  <si>
    <t xml:space="preserve">R64-191</t>
  </si>
  <si>
    <t xml:space="preserve">R64-192</t>
  </si>
  <si>
    <t xml:space="preserve">instalações de confinamento, semiconfinamento e manejo geral de acordo com as especificações do Guia Brasileiro do CONCEA</t>
  </si>
  <si>
    <t xml:space="preserve">R64-193</t>
  </si>
  <si>
    <t xml:space="preserve">ventilação nas áreas de confinamento</t>
  </si>
  <si>
    <t xml:space="preserve">R64-194</t>
  </si>
  <si>
    <t xml:space="preserve">onde ocorra reprodução</t>
  </si>
  <si>
    <t xml:space="preserve">instalações onde ocorra reprodução com altura e piso propícios à monta</t>
  </si>
  <si>
    <t xml:space="preserve">R64-195</t>
  </si>
  <si>
    <t xml:space="preserve">paredes internas do curral, do brete e do tronco de contenção lisas e livres de saliências ou elementos pontiagudos</t>
  </si>
  <si>
    <t xml:space="preserve">R64-196</t>
  </si>
  <si>
    <t xml:space="preserve">R64-197</t>
  </si>
  <si>
    <t xml:space="preserve">ração armazenada sem contato com o piso ou paredes</t>
  </si>
  <si>
    <t xml:space="preserve">R64-198</t>
  </si>
  <si>
    <t xml:space="preserve">R64-199</t>
  </si>
  <si>
    <t xml:space="preserve">depósito de resíduos isolado das demais áreas</t>
  </si>
  <si>
    <t xml:space="preserve">R64-200</t>
  </si>
  <si>
    <t xml:space="preserve">R64-201</t>
  </si>
  <si>
    <t xml:space="preserve">R64-202</t>
  </si>
  <si>
    <t xml:space="preserve">terreno dos piquetes com drenagem de acordo com especificações do Guia Brasileiro do CONCEA</t>
  </si>
  <si>
    <t xml:space="preserve">R64-203</t>
  </si>
  <si>
    <t xml:space="preserve">área cirúrgica localizada em ambiente fechado e própria para este fim, dotada de brete de contenção, de acordo com as especificações do Guia Brasileiro do CONCEA</t>
  </si>
  <si>
    <t xml:space="preserve">O Anexo lista o mesmo item duas vezes, uma como Recomendado e outra como Obrigatório. Prevalece o artigo: Obrigatório.</t>
  </si>
  <si>
    <t xml:space="preserve">R64-204</t>
  </si>
  <si>
    <t xml:space="preserve">piquetes hospitalares sombreados com cercas de arame liso, bebedouro e cocho coberto</t>
  </si>
  <si>
    <t xml:space="preserve">R64-205</t>
  </si>
  <si>
    <t xml:space="preserve">R64-206</t>
  </si>
  <si>
    <t xml:space="preserve">R64-207</t>
  </si>
  <si>
    <t xml:space="preserve">R64-208</t>
  </si>
  <si>
    <t xml:space="preserve">R64-209</t>
  </si>
  <si>
    <t xml:space="preserve">R64-210</t>
  </si>
  <si>
    <t xml:space="preserve">R64-211</t>
  </si>
  <si>
    <t xml:space="preserve">R64-212</t>
  </si>
  <si>
    <t xml:space="preserve">R64-213</t>
  </si>
  <si>
    <t xml:space="preserve">instalação de criação isolada por barreira física (vegetal)</t>
  </si>
  <si>
    <t xml:space="preserve">R64-214</t>
  </si>
  <si>
    <t xml:space="preserve">R64-215</t>
  </si>
  <si>
    <t xml:space="preserve">paredes, pisos e tetos de materiais que permitam limpeza e desinfecção</t>
  </si>
  <si>
    <t xml:space="preserve">R64-216</t>
  </si>
  <si>
    <t xml:space="preserve">instalações amplas, arejadas e com proteção para intempéries</t>
  </si>
  <si>
    <t xml:space="preserve">R64-217</t>
  </si>
  <si>
    <t xml:space="preserve">iluminação de acordo com as especificações do Guia Brasileiro do CONCEA</t>
  </si>
  <si>
    <t xml:space="preserve">R64-218</t>
  </si>
  <si>
    <t xml:space="preserve">R64-219</t>
  </si>
  <si>
    <t xml:space="preserve">cobertura total ou parcial</t>
  </si>
  <si>
    <t xml:space="preserve">R64-220</t>
  </si>
  <si>
    <t xml:space="preserve">R64-221</t>
  </si>
  <si>
    <t xml:space="preserve">R64-222</t>
  </si>
  <si>
    <t xml:space="preserve">R64-223</t>
  </si>
  <si>
    <t xml:space="preserve">instalações que permitam contato visual entre os animais</t>
  </si>
  <si>
    <t xml:space="preserve">R64-224</t>
  </si>
  <si>
    <t xml:space="preserve">alojamento em grupos, salvo exceções previstas pelo CONCEA</t>
  </si>
  <si>
    <t xml:space="preserve">R64-225</t>
  </si>
  <si>
    <t xml:space="preserve">art. 3º, XV</t>
  </si>
  <si>
    <t xml:space="preserve">área de manejo com divisões em compartimentos separados por porteiras</t>
  </si>
  <si>
    <t xml:space="preserve">R64-226</t>
  </si>
  <si>
    <t xml:space="preserve">art. 3º, XVI</t>
  </si>
  <si>
    <t xml:space="preserve">área de manejo com cobertura total ou parcial e corredor do tipo seringa</t>
  </si>
  <si>
    <t xml:space="preserve">R64-227</t>
  </si>
  <si>
    <t xml:space="preserve">art. 3º, XVII</t>
  </si>
  <si>
    <t xml:space="preserve">tronco de contenção próprio para a espécie</t>
  </si>
  <si>
    <t xml:space="preserve">R64-228</t>
  </si>
  <si>
    <t xml:space="preserve">art. 3º, XVIII</t>
  </si>
  <si>
    <t xml:space="preserve">paredes laterais fechadas, especialmente do brete e tronco</t>
  </si>
  <si>
    <t xml:space="preserve">R64-229</t>
  </si>
  <si>
    <t xml:space="preserve">art. 3º, XIX</t>
  </si>
  <si>
    <t xml:space="preserve">baias destinadas aos touros seguindo especificações do Guia Brasileiro do CONCEA</t>
  </si>
  <si>
    <t xml:space="preserve">R64-230</t>
  </si>
  <si>
    <t xml:space="preserve">art. 3º, XX</t>
  </si>
  <si>
    <t xml:space="preserve">R65-231</t>
  </si>
  <si>
    <t xml:space="preserve">Equídeos</t>
  </si>
  <si>
    <t xml:space="preserve">RN 65/2023</t>
  </si>
  <si>
    <t xml:space="preserve">instalações de criação com áreas de recepção de animais e quarentena</t>
  </si>
  <si>
    <t xml:space="preserve">R65-232</t>
  </si>
  <si>
    <t xml:space="preserve">área de eutanásia, separada das demais instalações</t>
  </si>
  <si>
    <t xml:space="preserve">R65-233</t>
  </si>
  <si>
    <t xml:space="preserve">depósitos exclusivos de ração, forragem e cama, armazenados sem contato com o piso ou paredes</t>
  </si>
  <si>
    <t xml:space="preserve">R65-234</t>
  </si>
  <si>
    <t xml:space="preserve">R65-235</t>
  </si>
  <si>
    <t xml:space="preserve">instalações que promovam a segurança e o bem-estar dos animais em confinamento, nos quais os animais expressem posturas típicas da espécie e tenham acesso a alimento e água, de acordo com as especificações do Guia Brasileiro do CONCEA</t>
  </si>
  <si>
    <t xml:space="preserve">R65-236</t>
  </si>
  <si>
    <t xml:space="preserve">instalações que permitam contato físico ou visual com indivíduos da mesma espécie, exceto em casos autorizados pela CEUA ou devido a condições clínicas</t>
  </si>
  <si>
    <t xml:space="preserve">R65-237</t>
  </si>
  <si>
    <t xml:space="preserve">instalações de confinamento ventiladas, com iluminação natural e piso de material antiderrapante, que permita a higienização</t>
  </si>
  <si>
    <t xml:space="preserve">R65-238</t>
  </si>
  <si>
    <t xml:space="preserve">piquetes com sombreamento e locais de fornecimento de alimento, sal mineral (suplementos) e água</t>
  </si>
  <si>
    <t xml:space="preserve">R65-239</t>
  </si>
  <si>
    <t xml:space="preserve">piquetes com cercas de materiais que evitem risco de ferimentos</t>
  </si>
  <si>
    <t xml:space="preserve">R65-240</t>
  </si>
  <si>
    <t xml:space="preserve">local para acondicionamento de carcaças</t>
  </si>
  <si>
    <t xml:space="preserve">R65-241</t>
  </si>
  <si>
    <t xml:space="preserve">R65-242</t>
  </si>
  <si>
    <t xml:space="preserve">R65-243</t>
  </si>
  <si>
    <t xml:space="preserve">adequação de sistema de transporte (veículos, gaiolas e contenção física e química de animais) que ofereça transporte seguro dos animais e previna a exposição de pessoas</t>
  </si>
  <si>
    <t xml:space="preserve">R65-244</t>
  </si>
  <si>
    <t xml:space="preserve">R65-245</t>
  </si>
  <si>
    <t xml:space="preserve">sistema de produção separado por barreira física (vegetal)</t>
  </si>
  <si>
    <t xml:space="preserve">R65-246</t>
  </si>
  <si>
    <t xml:space="preserve">instalações que permitam a limpeza e desinfecção</t>
  </si>
  <si>
    <t xml:space="preserve">R65-247</t>
  </si>
  <si>
    <t xml:space="preserve">R65-248</t>
  </si>
  <si>
    <t xml:space="preserve">área de manejo com divisões em compartimentos separados por porteiras para permitir o manejo e apartação dos animais</t>
  </si>
  <si>
    <t xml:space="preserve">R65-249</t>
  </si>
  <si>
    <t xml:space="preserve">área de manejo com cobertura total ou parcial para proteção dos animais e corredor do tipo seringa para direcionamento dos animais</t>
  </si>
  <si>
    <t xml:space="preserve">R65-250</t>
  </si>
  <si>
    <t xml:space="preserve">terreno dos piquetes com condições de drenagem, de acordo com especificações do Guia Brasileiro do CONCEA</t>
  </si>
  <si>
    <t xml:space="preserve">R65-251</t>
  </si>
  <si>
    <t xml:space="preserve">lotação animal de acordo com a disponibilidade de água, alimento, forragem e cama</t>
  </si>
  <si>
    <t xml:space="preserve">R65-252</t>
  </si>
  <si>
    <t xml:space="preserve">R66-253</t>
  </si>
  <si>
    <t xml:space="preserve">Suínos</t>
  </si>
  <si>
    <t xml:space="preserve">RN 66/2023</t>
  </si>
  <si>
    <t xml:space="preserve">área para recepção de animais em instalação de criação</t>
  </si>
  <si>
    <t xml:space="preserve">R66-254</t>
  </si>
  <si>
    <t xml:space="preserve">área de quarentena em instalação de criação</t>
  </si>
  <si>
    <t xml:space="preserve">R66-255</t>
  </si>
  <si>
    <t xml:space="preserve">área específica para eutanásia</t>
  </si>
  <si>
    <t xml:space="preserve">R66-256</t>
  </si>
  <si>
    <t xml:space="preserve">local para descarte de carcaças de acordo com as especificações do Guia Brasileiro do CONCEA</t>
  </si>
  <si>
    <t xml:space="preserve">R66-257</t>
  </si>
  <si>
    <t xml:space="preserve">depósito exclusivo para ração e forragem</t>
  </si>
  <si>
    <t xml:space="preserve">R66-258</t>
  </si>
  <si>
    <t xml:space="preserve">ração e forragem armazenadas sem contato com o piso ou paredes</t>
  </si>
  <si>
    <t xml:space="preserve">R66-259</t>
  </si>
  <si>
    <t xml:space="preserve">R66-260</t>
  </si>
  <si>
    <t xml:space="preserve">R66-261</t>
  </si>
  <si>
    <t xml:space="preserve">instalações que promovam a segurança e o bem-estar dos animais, de acordo com as especificações do Guia Brasileiro do CONCEA</t>
  </si>
  <si>
    <t xml:space="preserve">R66-262</t>
  </si>
  <si>
    <t xml:space="preserve">instalações para confinamento, semiconfinamento e manejo geral com piso de material antiderrapante</t>
  </si>
  <si>
    <t xml:space="preserve">R66-263</t>
  </si>
  <si>
    <t xml:space="preserve">paredes, pisos e tetos de materiais que possibilitem a higienização e desinfecção</t>
  </si>
  <si>
    <t xml:space="preserve">R66-264</t>
  </si>
  <si>
    <t xml:space="preserve">contato físico ou visual entre indivíduos da mesma espécie, exceto em casos autorizados pela CEUA ou devido a condições clínicas</t>
  </si>
  <si>
    <t xml:space="preserve">R66-265</t>
  </si>
  <si>
    <t xml:space="preserve">dimensionamento dos alojamentos das espécies de acordo com as especificações do Guia Brasileiro do CONCEA</t>
  </si>
  <si>
    <t xml:space="preserve">R66-266</t>
  </si>
  <si>
    <t xml:space="preserve">suínos geneticamente modificados</t>
  </si>
  <si>
    <t xml:space="preserve">áreas de alojamento e manejo de suínos geneticamente modificados separadas fisicamente das áreas de alojamento dos outros animais, com acesso restrito</t>
  </si>
  <si>
    <t xml:space="preserve">R66-267</t>
  </si>
  <si>
    <t xml:space="preserve">R66-268</t>
  </si>
  <si>
    <t xml:space="preserve">R66-269</t>
  </si>
  <si>
    <t xml:space="preserve">R66-270</t>
  </si>
  <si>
    <t xml:space="preserve">R67-271</t>
  </si>
  <si>
    <t xml:space="preserve">Aves</t>
  </si>
  <si>
    <t xml:space="preserve">RN 67/2023</t>
  </si>
  <si>
    <t xml:space="preserve">depósitos exclusivos para estocagem de ração, forragem e cama</t>
  </si>
  <si>
    <t xml:space="preserve">R67-272</t>
  </si>
  <si>
    <t xml:space="preserve">armazenamento de ração, forragem e cama sem contato com o piso ou paredes</t>
  </si>
  <si>
    <t xml:space="preserve">R67-273</t>
  </si>
  <si>
    <t xml:space="preserve">R67-274</t>
  </si>
  <si>
    <t xml:space="preserve">R67-275</t>
  </si>
  <si>
    <t xml:space="preserve">R67-276</t>
  </si>
  <si>
    <t xml:space="preserve">R67-277</t>
  </si>
  <si>
    <t xml:space="preserve">R67-278</t>
  </si>
  <si>
    <t xml:space="preserve">local para descarte de carcaças</t>
  </si>
  <si>
    <t xml:space="preserve">R67-279</t>
  </si>
  <si>
    <t xml:space="preserve">área para Eutanásia separada das demais áreas</t>
  </si>
  <si>
    <t xml:space="preserve">R67-280</t>
  </si>
  <si>
    <t xml:space="preserve">R67-281</t>
  </si>
  <si>
    <t xml:space="preserve">sistema de transporte de acordo com as especificações do Guia Brasileiro do CONCEA</t>
  </si>
  <si>
    <t xml:space="preserve">R67-282</t>
  </si>
  <si>
    <t xml:space="preserve">R67-283</t>
  </si>
  <si>
    <t xml:space="preserve">plano de desinfecção das instalações</t>
  </si>
  <si>
    <t xml:space="preserve">R67-284</t>
  </si>
  <si>
    <t xml:space="preserve">R67-285</t>
  </si>
  <si>
    <t xml:space="preserve">Obrigatórios</t>
  </si>
  <si>
    <t xml:space="preserve">Recomendados</t>
  </si>
  <si>
    <t xml:space="preserve">Total</t>
  </si>
  <si>
    <t xml:space="preserve">Itens com restrição de finalidade</t>
  </si>
  <si>
    <t xml:space="preserve">Itens com restrição de subgrupo</t>
  </si>
  <si>
    <t xml:space="preserve">Divergências registradas</t>
  </si>
  <si>
    <t xml:space="preserve">Itens com condição explícita</t>
  </si>
  <si>
    <t xml:space="preserve">TOTAL</t>
  </si>
  <si>
    <t xml:space="preserve">Planilha-fonte dos critérios de licenciamento — CEUA UFPR Palotina</t>
  </si>
  <si>
    <t xml:space="preserve">Origem: textos das Resoluções Normativas publicados no DOU, transcritos alínea por alínea.</t>
  </si>
  <si>
    <t xml:space="preserve">Data da extração: 31/08/2026.</t>
  </si>
  <si>
    <t xml:space="preserve">REGRAS DE TRANSCRIÇÃO</t>
  </si>
  <si>
    <t xml:space="preserve">1. Uma linha por alínea. A chave é o dispositivo. Item sem dispositivo não entra.</t>
  </si>
  <si>
    <t xml:space="preserve">2. Obrigatório = art. 2º (art. 4º na RN 62, para serpentes). Recomendado = art. 3º (art. 5º na RN 62).</t>
  </si>
  <si>
    <t xml:space="preserve">3. O Anexo de cada RN NÃO é fonte de classificação. Serve só de conferência; onde diverge do</t>
  </si>
  <si>
    <t xml:space="preserve">   artigo, a divergência fica registrada na coluna Nota e prevalece o artigo.</t>
  </si>
  <si>
    <t xml:space="preserve">4. A coluna Finalidade só é preenchida quando a própria alínea traz a restrição por escrito</t>
  </si>
  <si>
    <t xml:space="preserve">   ('em biotérios de criação', 'em instalação de criação'). Sem essa expressão, o valor é 'todas'.</t>
  </si>
  <si>
    <t xml:space="preserve">COMO AUDITAR UM FORMULÁRIO</t>
  </si>
  <si>
    <t xml:space="preserve">Cruzar a lista de itens do formulário com a coluna Dispositivo. Item do formulário sem</t>
  </si>
  <si>
    <t xml:space="preserve">dispositivo correspondente é invenção; alínea sem item é omissão; classificação diferente</t>
  </si>
  <si>
    <t xml:space="preserve">aparece na coluna Classificação. A aba Contagem dá o total por táxon para o teste rápido.</t>
  </si>
  <si>
    <t xml:space="preserve">DIVERGÊNCIAS DA PRÓPRIA NORMA (ver coluna Nota)</t>
  </si>
  <si>
    <t xml:space="preserve">RN 59 — sanitários: o art. 2º, I, 'f' não restringe à criação; o Anexo restringe.</t>
  </si>
  <si>
    <t xml:space="preserve">RN 61 — parâmetros de água: o art. 2º, I, 'l' traz salinidade; o Anexo I traz 'dureza'.</t>
  </si>
  <si>
    <t xml:space="preserve">RN 61 — o Anexo II omite obrigatórios do art. 2º (barreiras sanitárias, EPI, patógenos).</t>
  </si>
  <si>
    <t xml:space="preserve">RN 62 — anfíbios, registro da alimentação: art. 3º, I diz Recomendado; o Anexo diz Obrigatório.</t>
  </si>
  <si>
    <t xml:space="preserve">RN 63 — dois incisos do art. 3º numerados como XII.</t>
  </si>
  <si>
    <t xml:space="preserve">RN 64 — o Anexo lista a área cirúrgica duas vezes, como R e como OB. O art. 2º, I, 'p' é OB.</t>
  </si>
  <si>
    <t xml:space="preserve">5. Restrição de subgrupo (espécie ou variedade) tem coluna própria — não se confunde com finalidade.</t>
  </si>
  <si>
    <t xml:space="preserve">PONTO DE ATENÇÃO</t>
  </si>
  <si>
    <t xml:space="preserve">A RN 61 não divide peixes em dois táxons. O art. 2º vale para todos os peixes; apenas alguns</t>
  </si>
  <si>
    <t xml:space="preserve">itens têm o recorte 'para peixes de laboratório' (lambari, tilápia e zebrafish, art. 1º,</t>
  </si>
  <si>
    <t xml:space="preserve">parágrafo único). Os Anexos I e II é que separam. Tratar os Anexos como dois grupos</t>
  </si>
  <si>
    <t xml:space="preserve">taxonômicos distintos, como fazem os formulários atuais, não corresponde à norma.</t>
  </si>
  <si>
    <t xml:space="preserve">CONDIÇÃO NÃO É FINALIDADE</t>
  </si>
  <si>
    <t xml:space="preserve">Expressões como 'quando existentes', 'sempre que necessário', 'exceto se justificado', 'na ausência de',</t>
  </si>
  <si>
    <t xml:space="preserve">'em serpentários abertos' ou 'onde ocorra reprodução' são condições postas pela própria norma — vão para a</t>
  </si>
  <si>
    <t xml:space="preserve">coluna Condição, não para a coluna Finalidade. São os casos em que 'Não se aplica' tem base textual</t>
  </si>
  <si>
    <t xml:space="preserve">expressa, e não depende de interpretação da CEUA.</t>
  </si>
  <si>
    <t xml:space="preserve">Ponto</t>
  </si>
  <si>
    <t xml:space="preserve">O que diz o artigo</t>
  </si>
  <si>
    <t xml:space="preserve">O que diz o Anexo</t>
  </si>
  <si>
    <t xml:space="preserve">Regra adotada</t>
  </si>
  <si>
    <t xml:space="preserve">Sanitários</t>
  </si>
  <si>
    <t xml:space="preserve">sanitários separados das áreas controladas ou de criação — sem restrição de finalidade</t>
  </si>
  <si>
    <t xml:space="preserve">restringe: sanitários fora de áreas controladas em instalações de criação</t>
  </si>
  <si>
    <t xml:space="preserve">Prevalece o artigo. Item exigível em qualquer finalidade.</t>
  </si>
  <si>
    <t xml:space="preserve">Parâmetros da água</t>
  </si>
  <si>
    <t xml:space="preserve">filtragem, pH, oxigênio dissolvido, salinidade e níveis de amônia e nitrito</t>
  </si>
  <si>
    <t xml:space="preserve">Anexo I traz 'controle de amônia e dureza da água' — não menciona salinidade</t>
  </si>
  <si>
    <t xml:space="preserve">Prevalece o artigo. Salinidade é exigível; dureza não é requisito normativo.</t>
  </si>
  <si>
    <t xml:space="preserve">Barreiras sanitárias</t>
  </si>
  <si>
    <t xml:space="preserve">barreiras de bioexclusão e biocontenção conforme o nível de biossegurança</t>
  </si>
  <si>
    <t xml:space="preserve">ausente do Anexo II</t>
  </si>
  <si>
    <t xml:space="preserve">Prevalece o artigo. Exigível também para os peixes do Anexo II.</t>
  </si>
  <si>
    <t xml:space="preserve">Controle de patógenos</t>
  </si>
  <si>
    <t xml:space="preserve">Prevalece o artigo, com a restrição de subgrupo que ele próprio traz.</t>
  </si>
  <si>
    <t xml:space="preserve">EPI</t>
  </si>
  <si>
    <t xml:space="preserve">equipamentos de proteção individual conforme o nível de biossegurança</t>
  </si>
  <si>
    <t xml:space="preserve">art. 1º e Anexos I e II</t>
  </si>
  <si>
    <t xml:space="preserve">Divisão em dois grupos</t>
  </si>
  <si>
    <t xml:space="preserve">o art. 2º vale para todos os peixes; só alguns itens dizem 'para peixes de laboratório'</t>
  </si>
  <si>
    <t xml:space="preserve">os Anexos I e II separam peixes de laboratório dos demais</t>
  </si>
  <si>
    <t xml:space="preserve">A divisão é dos Anexos, não da norma. Não tratar como dois táxons distintos.</t>
  </si>
  <si>
    <t xml:space="preserve">Registro da alimentação</t>
  </si>
  <si>
    <t xml:space="preserve">art. 3º, I — item recomendado</t>
  </si>
  <si>
    <t xml:space="preserve">Anexo classifica como Obrigatório</t>
  </si>
  <si>
    <t xml:space="preserve">Prevalece o artigo: Recomendado.</t>
  </si>
  <si>
    <t xml:space="preserve">art. 3º, XII e XII (bis)</t>
  </si>
  <si>
    <t xml:space="preserve">Numeração</t>
  </si>
  <si>
    <t xml:space="preserve">dois incisos diferentes recebem o número XII</t>
  </si>
  <si>
    <t xml:space="preserve">—</t>
  </si>
  <si>
    <t xml:space="preserve">Erro de numeração na fonte. Mantidos ambos, o segundo identificado como XII (bis).</t>
  </si>
  <si>
    <t xml:space="preserve">Grandes ruminantes</t>
  </si>
  <si>
    <t xml:space="preserve">Área cirúrgica</t>
  </si>
  <si>
    <t xml:space="preserve">art. 2º, I, 'p' — item obrigatório</t>
  </si>
  <si>
    <t xml:space="preserve">o Anexo lista o mesmo item duas vezes: uma como Recomendado, outra como Obrigatório</t>
  </si>
  <si>
    <t xml:space="preserve">Prevalece o artigo: Obrigatório, ocorrência única.</t>
  </si>
  <si>
    <t xml:space="preserve">Norma</t>
  </si>
  <si>
    <t xml:space="preserve">Tema</t>
  </si>
  <si>
    <t xml:space="preserve">O que rege</t>
  </si>
  <si>
    <t xml:space="preserve">Uso nesta matriz e nos formulários</t>
  </si>
  <si>
    <t xml:space="preserve">Lei 11.794/2008</t>
  </si>
  <si>
    <t xml:space="preserve">Lei Arouca</t>
  </si>
  <si>
    <t xml:space="preserve">Cria o CONCEA e as CEUAs; define o regime do uso de animais em ensino e pesquisa científica.</t>
  </si>
  <si>
    <t xml:space="preserve">Fundamento de todo o resto. O termo 'laboratório de experimentação' vem dela e permanece sem regulamentação complementar.</t>
  </si>
  <si>
    <t xml:space="preserve">Lei 15.183/2025</t>
  </si>
  <si>
    <t xml:space="preserve">Testes de cosméticos</t>
  </si>
  <si>
    <t xml:space="preserve">Veda o uso de animais vertebrados vivos em testes de produtos de higiene pessoal, cosméticos e perfumes e de seus ingredientes; acrescenta os §§ 11 a 18 ao art. 14 da Lei 11.794.</t>
  </si>
  <si>
    <t xml:space="preserve">Matéria de análise de protocolo pela CEUA. Não afeta enquadramento nem licenciamento de instalação.</t>
  </si>
  <si>
    <t xml:space="preserve">RN 30/2016, atualizada pela RN 55/2022</t>
  </si>
  <si>
    <t xml:space="preserve">DBCA</t>
  </si>
  <si>
    <t xml:space="preserve">Diretriz Brasileira para o Cuidado e a Utilização de Animais em Atividades de Ensino ou Pesquisa Científica.</t>
  </si>
  <si>
    <t xml:space="preserve">Fonte subsidiária. Não classifica itens como obrigatório ou recomendado por táxon — isso é das RNs específicas.</t>
  </si>
  <si>
    <t xml:space="preserve">RN 51/2021, alterada pela RN 73/2025</t>
  </si>
  <si>
    <t xml:space="preserve">CEUAs e instalações</t>
  </si>
  <si>
    <t xml:space="preserve">Funcionamento das CEUAs, vínculo das instalações, coordenação e Responsável Técnico.</t>
  </si>
  <si>
    <t xml:space="preserve">Base dos campos gerais dos formulários (coordenador, RT, vínculo). A RN 73/2025 revogou as alíneas 'a' e 'b' do art. 14, II.</t>
  </si>
  <si>
    <t xml:space="preserve">RN 22/2015</t>
  </si>
  <si>
    <t xml:space="preserve">Animais domésticos fora de instalações</t>
  </si>
  <si>
    <t xml:space="preserve">Estudos conduzidos com animais domésticos mantidos fora de instalações de instituições de ensino ou pesquisa. Traz, no item 3.13, a definição oficial de instalação animal.</t>
  </si>
  <si>
    <t xml:space="preserve">Define a fronteira do que é instalação animal. Não gera itens de checklist.</t>
  </si>
  <si>
    <t xml:space="preserve">Portaria MCTI 9.037/2025, alterada pela 9.299/2025</t>
  </si>
  <si>
    <t xml:space="preserve">Licenciamento no CIUCA</t>
  </si>
  <si>
    <t xml:space="preserve">Institui o licenciamento das instalações animais. Art. 3º: exige o atendimento, no mínimo, dos critérios de caráter obrigatório. Art. 4º, V e §1º: licença por táxon em cada instalação.</t>
  </si>
  <si>
    <t xml:space="preserve">É a régua desta matriz. Só a coluna Classificação = Obrigatório bloqueia o licenciamento.</t>
  </si>
  <si>
    <t xml:space="preserve">Nota Informativa CONCEA de 29/04/2026</t>
  </si>
  <si>
    <t xml:space="preserve">Instalações médico-veterinárias e unidades de produção</t>
  </si>
  <si>
    <t xml:space="preserve">Define consultórios, ambulatórios, clínicas e hospitais veterinários e estruturas de produção agropecuária; exige licenciamento quando há ensino ou pesquisa.</t>
  </si>
  <si>
    <t xml:space="preserve">Autoriza assinalar 'não se aplica' com justificativa no checklist dessas instalações. Não menciona centros de triagem.</t>
  </si>
  <si>
    <t xml:space="preserve">Nota Informativa CONCEA de 09/07/2026</t>
  </si>
  <si>
    <t xml:space="preserve">Laboratórios de experimentação</t>
  </si>
  <si>
    <t xml:space="preserve">Sala de procedimentos separada de instalação licenciada, exclusiva para roedores, duração menor que 12 horas e sem possibilidade de alojamento.</t>
  </si>
  <si>
    <t xml:space="preserve">Não gera checklist próprio. Registro no item 2.1.1 do cadastro de instalações do CIUCA.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</si>
</sst>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64549"/>
      <name val="Arial"/>
      <family val="0"/>
      <charset val="1"/>
    </font>
    <font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64549"/>
        <bgColor rgb="FF333333"/>
      </patternFill>
    </fill>
    <fill>
      <patternFill patternType="solid">
        <fgColor rgb="FFD6EAEE"/>
        <bgColor rgb="FFEDE9FE"/>
      </patternFill>
    </fill>
    <fill>
      <patternFill patternType="solid">
        <fgColor rgb="FFEDE9FE"/>
        <bgColor rgb="FFFDECEC"/>
      </patternFill>
    </fill>
    <fill>
      <patternFill patternType="solid">
        <fgColor rgb="FFFDF3E0"/>
        <bgColor rgb="FFFDECEC"/>
      </patternFill>
    </fill>
    <fill>
      <patternFill patternType="solid">
        <fgColor rgb="FFFDECEC"/>
        <bgColor rgb="FFFD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CE0"/>
      </left>
      <right style="thin">
        <color rgb="FFC9DCE0"/>
      </right>
      <top style="thin">
        <color rgb="FFC9DCE0"/>
      </top>
      <bottom style="thin">
        <color rgb="FFC9DC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6454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6EAEE"/>
          <bgColor rgb="FF000000"/>
        </patternFill>
      </fill>
    </dxf>
    <dxf>
      <fill>
        <patternFill patternType="solid">
          <fgColor rgb="FFFDF3E0"/>
          <bgColor rgb="FF000000"/>
        </patternFill>
      </fill>
    </dxf>
    <dxf>
      <fill>
        <patternFill patternType="solid">
          <fgColor rgb="FFEDE9FE"/>
          <bgColor rgb="FF000000"/>
        </patternFill>
      </fill>
    </dxf>
    <dxf>
      <fill>
        <patternFill patternType="solid">
          <fgColor rgb="FFFDECE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3E0"/>
      <rgbColor rgb="FFD6EAEE"/>
      <rgbColor rgb="FF660066"/>
      <rgbColor rgb="FFFF8080"/>
      <rgbColor rgb="FF0066CC"/>
      <rgbColor rgb="FFC9D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9FE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454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13"/>
    <col collapsed="false" customWidth="true" hidden="false" outlineLevel="0" max="4" min="4" style="1" width="20"/>
    <col collapsed="false" customWidth="true" hidden="false" outlineLevel="0" max="6" min="5" style="1" width="14"/>
    <col collapsed="false" customWidth="true" hidden="false" outlineLevel="0" max="8" min="7" style="1" width="20"/>
    <col collapsed="false" customWidth="true" hidden="false" outlineLevel="0" max="9" min="9" style="1" width="26"/>
    <col collapsed="false" customWidth="true" hidden="false" outlineLevel="0" max="10" min="10" style="1" width="34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tru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4" t="s">
        <v>17</v>
      </c>
      <c r="G2" s="3" t="s">
        <v>18</v>
      </c>
      <c r="H2" s="3"/>
      <c r="I2" s="3" t="s">
        <v>18</v>
      </c>
      <c r="J2" s="3"/>
      <c r="K2" s="3" t="s">
        <v>19</v>
      </c>
      <c r="L2" s="3"/>
    </row>
    <row r="3" customFormat="false" ht="32.25" hidden="false" customHeight="true" outlineLevel="0" collapsed="false">
      <c r="A3" s="3" t="s">
        <v>20</v>
      </c>
      <c r="B3" s="3" t="s">
        <v>13</v>
      </c>
      <c r="C3" s="3" t="s">
        <v>14</v>
      </c>
      <c r="D3" s="3" t="s">
        <v>21</v>
      </c>
      <c r="E3" s="3" t="s">
        <v>16</v>
      </c>
      <c r="F3" s="4" t="s">
        <v>17</v>
      </c>
      <c r="G3" s="3" t="s">
        <v>18</v>
      </c>
      <c r="H3" s="3"/>
      <c r="I3" s="3" t="s">
        <v>18</v>
      </c>
      <c r="J3" s="5" t="s">
        <v>22</v>
      </c>
      <c r="K3" s="3" t="s">
        <v>23</v>
      </c>
      <c r="L3" s="3"/>
    </row>
    <row r="4" customFormat="false" ht="15" hidden="false" customHeight="true" outlineLevel="0" collapsed="false">
      <c r="A4" s="3" t="s">
        <v>24</v>
      </c>
      <c r="B4" s="3" t="s">
        <v>13</v>
      </c>
      <c r="C4" s="3" t="s">
        <v>14</v>
      </c>
      <c r="D4" s="3" t="s">
        <v>25</v>
      </c>
      <c r="E4" s="3" t="s">
        <v>16</v>
      </c>
      <c r="F4" s="4" t="s">
        <v>17</v>
      </c>
      <c r="G4" s="3" t="s">
        <v>18</v>
      </c>
      <c r="H4" s="3"/>
      <c r="I4" s="3" t="s">
        <v>18</v>
      </c>
      <c r="J4" s="3"/>
      <c r="K4" s="3" t="s">
        <v>26</v>
      </c>
      <c r="L4" s="3"/>
    </row>
    <row r="5" customFormat="false" ht="21.75" hidden="false" customHeight="true" outlineLevel="0" collapsed="false">
      <c r="A5" s="3" t="s">
        <v>27</v>
      </c>
      <c r="B5" s="3" t="s">
        <v>13</v>
      </c>
      <c r="C5" s="3" t="s">
        <v>14</v>
      </c>
      <c r="D5" s="3" t="s">
        <v>28</v>
      </c>
      <c r="E5" s="3" t="s">
        <v>16</v>
      </c>
      <c r="F5" s="4" t="s">
        <v>17</v>
      </c>
      <c r="G5" s="3" t="s">
        <v>29</v>
      </c>
      <c r="H5" s="3"/>
      <c r="I5" s="3" t="s">
        <v>30</v>
      </c>
      <c r="J5" s="3"/>
      <c r="K5" s="3" t="s">
        <v>31</v>
      </c>
      <c r="L5" s="3"/>
    </row>
    <row r="6" customFormat="false" ht="15" hidden="false" customHeight="true" outlineLevel="0" collapsed="false">
      <c r="A6" s="3" t="s">
        <v>32</v>
      </c>
      <c r="B6" s="3" t="s">
        <v>13</v>
      </c>
      <c r="C6" s="3" t="s">
        <v>14</v>
      </c>
      <c r="D6" s="3" t="s">
        <v>33</v>
      </c>
      <c r="E6" s="3" t="s">
        <v>16</v>
      </c>
      <c r="F6" s="4" t="s">
        <v>17</v>
      </c>
      <c r="G6" s="3" t="s">
        <v>18</v>
      </c>
      <c r="H6" s="3"/>
      <c r="I6" s="3" t="s">
        <v>18</v>
      </c>
      <c r="J6" s="3"/>
      <c r="K6" s="3" t="s">
        <v>34</v>
      </c>
      <c r="L6" s="3"/>
    </row>
    <row r="7" customFormat="false" ht="15" hidden="false" customHeight="true" outlineLevel="0" collapsed="false">
      <c r="A7" s="3" t="s">
        <v>35</v>
      </c>
      <c r="B7" s="3" t="s">
        <v>13</v>
      </c>
      <c r="C7" s="3" t="s">
        <v>14</v>
      </c>
      <c r="D7" s="3" t="s">
        <v>36</v>
      </c>
      <c r="E7" s="3" t="s">
        <v>16</v>
      </c>
      <c r="F7" s="4" t="s">
        <v>17</v>
      </c>
      <c r="G7" s="3" t="s">
        <v>29</v>
      </c>
      <c r="H7" s="3"/>
      <c r="I7" s="3" t="s">
        <v>30</v>
      </c>
      <c r="J7" s="3"/>
      <c r="K7" s="3" t="s">
        <v>37</v>
      </c>
      <c r="L7" s="3"/>
    </row>
    <row r="8" customFormat="false" ht="15" hidden="false" customHeight="true" outlineLevel="0" collapsed="false">
      <c r="A8" s="3" t="s">
        <v>38</v>
      </c>
      <c r="B8" s="3" t="s">
        <v>13</v>
      </c>
      <c r="C8" s="3" t="s">
        <v>14</v>
      </c>
      <c r="D8" s="3" t="s">
        <v>39</v>
      </c>
      <c r="E8" s="3" t="s">
        <v>16</v>
      </c>
      <c r="F8" s="4" t="s">
        <v>17</v>
      </c>
      <c r="G8" s="3" t="s">
        <v>29</v>
      </c>
      <c r="H8" s="3"/>
      <c r="I8" s="3" t="s">
        <v>30</v>
      </c>
      <c r="J8" s="3"/>
      <c r="K8" s="3" t="s">
        <v>40</v>
      </c>
      <c r="L8" s="3"/>
    </row>
    <row r="9" customFormat="false" ht="15" hidden="false" customHeight="true" outlineLevel="0" collapsed="false">
      <c r="A9" s="3" t="s">
        <v>41</v>
      </c>
      <c r="B9" s="3" t="s">
        <v>13</v>
      </c>
      <c r="C9" s="3" t="s">
        <v>14</v>
      </c>
      <c r="D9" s="3" t="s">
        <v>42</v>
      </c>
      <c r="E9" s="3" t="s">
        <v>16</v>
      </c>
      <c r="F9" s="4" t="s">
        <v>17</v>
      </c>
      <c r="G9" s="3" t="s">
        <v>43</v>
      </c>
      <c r="H9" s="3"/>
      <c r="I9" s="3" t="s">
        <v>43</v>
      </c>
      <c r="J9" s="3"/>
      <c r="K9" s="3" t="s">
        <v>44</v>
      </c>
      <c r="L9" s="3"/>
    </row>
    <row r="10" customFormat="false" ht="21.75" hidden="false" customHeight="true" outlineLevel="0" collapsed="false">
      <c r="A10" s="3" t="s">
        <v>45</v>
      </c>
      <c r="B10" s="3" t="s">
        <v>13</v>
      </c>
      <c r="C10" s="3" t="s">
        <v>14</v>
      </c>
      <c r="D10" s="3" t="s">
        <v>46</v>
      </c>
      <c r="E10" s="3" t="s">
        <v>16</v>
      </c>
      <c r="F10" s="4" t="s">
        <v>17</v>
      </c>
      <c r="G10" s="3" t="s">
        <v>29</v>
      </c>
      <c r="H10" s="3"/>
      <c r="I10" s="3" t="s">
        <v>30</v>
      </c>
      <c r="J10" s="3"/>
      <c r="K10" s="3" t="s">
        <v>47</v>
      </c>
      <c r="L10" s="3"/>
    </row>
    <row r="11" customFormat="false" ht="15" hidden="false" customHeight="true" outlineLevel="0" collapsed="false">
      <c r="A11" s="3" t="s">
        <v>48</v>
      </c>
      <c r="B11" s="3" t="s">
        <v>13</v>
      </c>
      <c r="C11" s="3" t="s">
        <v>14</v>
      </c>
      <c r="D11" s="3" t="s">
        <v>49</v>
      </c>
      <c r="E11" s="3" t="s">
        <v>16</v>
      </c>
      <c r="F11" s="4" t="s">
        <v>17</v>
      </c>
      <c r="G11" s="3" t="s">
        <v>29</v>
      </c>
      <c r="H11" s="3"/>
      <c r="I11" s="3" t="s">
        <v>30</v>
      </c>
      <c r="J11" s="3"/>
      <c r="K11" s="3" t="s">
        <v>50</v>
      </c>
      <c r="L11" s="3"/>
    </row>
    <row r="12" customFormat="false" ht="15" hidden="false" customHeight="true" outlineLevel="0" collapsed="false">
      <c r="A12" s="3" t="s">
        <v>51</v>
      </c>
      <c r="B12" s="3" t="s">
        <v>13</v>
      </c>
      <c r="C12" s="3" t="s">
        <v>14</v>
      </c>
      <c r="D12" s="3" t="s">
        <v>52</v>
      </c>
      <c r="E12" s="3" t="s">
        <v>16</v>
      </c>
      <c r="F12" s="4" t="s">
        <v>17</v>
      </c>
      <c r="G12" s="3" t="s">
        <v>29</v>
      </c>
      <c r="H12" s="3"/>
      <c r="I12" s="3" t="s">
        <v>30</v>
      </c>
      <c r="J12" s="3"/>
      <c r="K12" s="3" t="s">
        <v>53</v>
      </c>
      <c r="L12" s="3"/>
    </row>
    <row r="13" customFormat="false" ht="21.75" hidden="false" customHeight="true" outlineLevel="0" collapsed="false">
      <c r="A13" s="3" t="s">
        <v>54</v>
      </c>
      <c r="B13" s="3" t="s">
        <v>13</v>
      </c>
      <c r="C13" s="3" t="s">
        <v>14</v>
      </c>
      <c r="D13" s="3" t="s">
        <v>55</v>
      </c>
      <c r="E13" s="3" t="s">
        <v>16</v>
      </c>
      <c r="F13" s="4" t="s">
        <v>17</v>
      </c>
      <c r="G13" s="3" t="s">
        <v>29</v>
      </c>
      <c r="H13" s="3"/>
      <c r="I13" s="3" t="s">
        <v>30</v>
      </c>
      <c r="J13" s="3"/>
      <c r="K13" s="3" t="s">
        <v>56</v>
      </c>
      <c r="L13" s="3"/>
    </row>
    <row r="14" customFormat="false" ht="15" hidden="false" customHeight="true" outlineLevel="0" collapsed="false">
      <c r="A14" s="3" t="s">
        <v>57</v>
      </c>
      <c r="B14" s="3" t="s">
        <v>13</v>
      </c>
      <c r="C14" s="3" t="s">
        <v>14</v>
      </c>
      <c r="D14" s="3" t="s">
        <v>58</v>
      </c>
      <c r="E14" s="3" t="s">
        <v>16</v>
      </c>
      <c r="F14" s="4" t="s">
        <v>17</v>
      </c>
      <c r="G14" s="3" t="s">
        <v>29</v>
      </c>
      <c r="H14" s="3"/>
      <c r="I14" s="3" t="s">
        <v>30</v>
      </c>
      <c r="J14" s="3"/>
      <c r="K14" s="3" t="s">
        <v>59</v>
      </c>
      <c r="L14" s="3"/>
    </row>
    <row r="15" customFormat="false" ht="21.75" hidden="false" customHeight="true" outlineLevel="0" collapsed="false">
      <c r="A15" s="3" t="s">
        <v>60</v>
      </c>
      <c r="B15" s="3" t="s">
        <v>13</v>
      </c>
      <c r="C15" s="3" t="s">
        <v>14</v>
      </c>
      <c r="D15" s="3" t="s">
        <v>61</v>
      </c>
      <c r="E15" s="3" t="s">
        <v>16</v>
      </c>
      <c r="F15" s="4" t="s">
        <v>17</v>
      </c>
      <c r="G15" s="3" t="s">
        <v>29</v>
      </c>
      <c r="H15" s="3"/>
      <c r="I15" s="3" t="s">
        <v>30</v>
      </c>
      <c r="J15" s="5" t="s">
        <v>62</v>
      </c>
      <c r="K15" s="3" t="s">
        <v>63</v>
      </c>
      <c r="L15" s="3"/>
    </row>
    <row r="16" customFormat="false" ht="15" hidden="false" customHeight="true" outlineLevel="0" collapsed="false">
      <c r="A16" s="3" t="s">
        <v>64</v>
      </c>
      <c r="B16" s="3" t="s">
        <v>13</v>
      </c>
      <c r="C16" s="3" t="s">
        <v>14</v>
      </c>
      <c r="D16" s="3" t="s">
        <v>65</v>
      </c>
      <c r="E16" s="3" t="s">
        <v>16</v>
      </c>
      <c r="F16" s="4" t="s">
        <v>17</v>
      </c>
      <c r="G16" s="3" t="s">
        <v>29</v>
      </c>
      <c r="H16" s="3"/>
      <c r="I16" s="3" t="s">
        <v>30</v>
      </c>
      <c r="J16" s="3"/>
      <c r="K16" s="3" t="s">
        <v>66</v>
      </c>
      <c r="L16" s="3"/>
    </row>
    <row r="17" customFormat="false" ht="21.75" hidden="false" customHeight="true" outlineLevel="0" collapsed="false">
      <c r="A17" s="3" t="s">
        <v>67</v>
      </c>
      <c r="B17" s="3" t="s">
        <v>13</v>
      </c>
      <c r="C17" s="3" t="s">
        <v>14</v>
      </c>
      <c r="D17" s="3" t="s">
        <v>68</v>
      </c>
      <c r="E17" s="3" t="s">
        <v>16</v>
      </c>
      <c r="F17" s="4" t="s">
        <v>17</v>
      </c>
      <c r="G17" s="3" t="s">
        <v>29</v>
      </c>
      <c r="H17" s="3"/>
      <c r="I17" s="3" t="s">
        <v>30</v>
      </c>
      <c r="J17" s="3"/>
      <c r="K17" s="3" t="s">
        <v>69</v>
      </c>
      <c r="L17" s="3"/>
    </row>
    <row r="18" customFormat="false" ht="21.75" hidden="false" customHeight="true" outlineLevel="0" collapsed="false">
      <c r="A18" s="3" t="s">
        <v>70</v>
      </c>
      <c r="B18" s="3" t="s">
        <v>13</v>
      </c>
      <c r="C18" s="3" t="s">
        <v>14</v>
      </c>
      <c r="D18" s="3" t="s">
        <v>71</v>
      </c>
      <c r="E18" s="3" t="s">
        <v>16</v>
      </c>
      <c r="F18" s="4" t="s">
        <v>17</v>
      </c>
      <c r="G18" s="3" t="s">
        <v>29</v>
      </c>
      <c r="H18" s="3"/>
      <c r="I18" s="3" t="s">
        <v>30</v>
      </c>
      <c r="J18" s="3"/>
      <c r="K18" s="3" t="s">
        <v>72</v>
      </c>
      <c r="L18" s="3"/>
    </row>
    <row r="19" customFormat="false" ht="32.25" hidden="false" customHeight="true" outlineLevel="0" collapsed="false">
      <c r="A19" s="3" t="s">
        <v>73</v>
      </c>
      <c r="B19" s="3" t="s">
        <v>13</v>
      </c>
      <c r="C19" s="3" t="s">
        <v>14</v>
      </c>
      <c r="D19" s="3" t="s">
        <v>74</v>
      </c>
      <c r="E19" s="3" t="s">
        <v>75</v>
      </c>
      <c r="F19" s="4" t="s">
        <v>17</v>
      </c>
      <c r="G19" s="3" t="s">
        <v>76</v>
      </c>
      <c r="H19" s="3"/>
      <c r="I19" s="3" t="s">
        <v>77</v>
      </c>
      <c r="J19" s="5" t="s">
        <v>78</v>
      </c>
      <c r="K19" s="3" t="s">
        <v>79</v>
      </c>
      <c r="L19" s="3"/>
    </row>
    <row r="20" customFormat="false" ht="15" hidden="false" customHeight="true" outlineLevel="0" collapsed="false">
      <c r="A20" s="3" t="s">
        <v>80</v>
      </c>
      <c r="B20" s="3" t="s">
        <v>13</v>
      </c>
      <c r="C20" s="3" t="s">
        <v>14</v>
      </c>
      <c r="D20" s="3" t="s">
        <v>81</v>
      </c>
      <c r="E20" s="3" t="s">
        <v>75</v>
      </c>
      <c r="F20" s="4" t="s">
        <v>17</v>
      </c>
      <c r="G20" s="3" t="s">
        <v>29</v>
      </c>
      <c r="H20" s="3"/>
      <c r="I20" s="3" t="s">
        <v>30</v>
      </c>
      <c r="J20" s="3"/>
      <c r="K20" s="3" t="s">
        <v>82</v>
      </c>
      <c r="L20" s="3"/>
    </row>
    <row r="21" customFormat="false" ht="15" hidden="false" customHeight="true" outlineLevel="0" collapsed="false">
      <c r="A21" s="3" t="s">
        <v>83</v>
      </c>
      <c r="B21" s="3" t="s">
        <v>13</v>
      </c>
      <c r="C21" s="3" t="s">
        <v>14</v>
      </c>
      <c r="D21" s="3" t="s">
        <v>84</v>
      </c>
      <c r="E21" s="3" t="s">
        <v>75</v>
      </c>
      <c r="F21" s="4" t="s">
        <v>17</v>
      </c>
      <c r="G21" s="3" t="s">
        <v>29</v>
      </c>
      <c r="H21" s="3"/>
      <c r="I21" s="3" t="s">
        <v>30</v>
      </c>
      <c r="J21" s="3"/>
      <c r="K21" s="3" t="s">
        <v>85</v>
      </c>
      <c r="L21" s="3"/>
    </row>
    <row r="22" customFormat="false" ht="15" hidden="false" customHeight="true" outlineLevel="0" collapsed="false">
      <c r="A22" s="3" t="s">
        <v>86</v>
      </c>
      <c r="B22" s="3" t="s">
        <v>13</v>
      </c>
      <c r="C22" s="3" t="s">
        <v>14</v>
      </c>
      <c r="D22" s="3" t="s">
        <v>87</v>
      </c>
      <c r="E22" s="3" t="s">
        <v>75</v>
      </c>
      <c r="F22" s="4" t="s">
        <v>17</v>
      </c>
      <c r="G22" s="3" t="s">
        <v>18</v>
      </c>
      <c r="H22" s="3"/>
      <c r="I22" s="3" t="s">
        <v>18</v>
      </c>
      <c r="J22" s="3"/>
      <c r="K22" s="3" t="s">
        <v>88</v>
      </c>
      <c r="L22" s="3"/>
    </row>
    <row r="23" customFormat="false" ht="21.75" hidden="false" customHeight="true" outlineLevel="0" collapsed="false">
      <c r="A23" s="3" t="s">
        <v>89</v>
      </c>
      <c r="B23" s="3" t="s">
        <v>13</v>
      </c>
      <c r="C23" s="3" t="s">
        <v>14</v>
      </c>
      <c r="D23" s="3" t="s">
        <v>90</v>
      </c>
      <c r="E23" s="3" t="s">
        <v>75</v>
      </c>
      <c r="F23" s="4" t="s">
        <v>17</v>
      </c>
      <c r="G23" s="3" t="s">
        <v>29</v>
      </c>
      <c r="H23" s="3"/>
      <c r="I23" s="3" t="s">
        <v>30</v>
      </c>
      <c r="J23" s="5" t="s">
        <v>91</v>
      </c>
      <c r="K23" s="3" t="s">
        <v>92</v>
      </c>
      <c r="L23" s="3"/>
    </row>
    <row r="24" customFormat="false" ht="21.75" hidden="false" customHeight="true" outlineLevel="0" collapsed="false">
      <c r="A24" s="3" t="s">
        <v>93</v>
      </c>
      <c r="B24" s="3" t="s">
        <v>13</v>
      </c>
      <c r="C24" s="3" t="s">
        <v>14</v>
      </c>
      <c r="D24" s="3" t="s">
        <v>94</v>
      </c>
      <c r="E24" s="3" t="s">
        <v>75</v>
      </c>
      <c r="F24" s="4" t="s">
        <v>17</v>
      </c>
      <c r="G24" s="3" t="s">
        <v>29</v>
      </c>
      <c r="H24" s="3"/>
      <c r="I24" s="3" t="s">
        <v>30</v>
      </c>
      <c r="J24" s="3"/>
      <c r="K24" s="3" t="s">
        <v>95</v>
      </c>
      <c r="L24" s="3"/>
    </row>
    <row r="25" customFormat="false" ht="15" hidden="false" customHeight="true" outlineLevel="0" collapsed="false">
      <c r="A25" s="3" t="s">
        <v>96</v>
      </c>
      <c r="B25" s="3" t="s">
        <v>13</v>
      </c>
      <c r="C25" s="3" t="s">
        <v>14</v>
      </c>
      <c r="D25" s="3" t="s">
        <v>97</v>
      </c>
      <c r="E25" s="3" t="s">
        <v>75</v>
      </c>
      <c r="F25" s="4" t="s">
        <v>17</v>
      </c>
      <c r="G25" s="3" t="s">
        <v>29</v>
      </c>
      <c r="H25" s="3"/>
      <c r="I25" s="3" t="s">
        <v>30</v>
      </c>
      <c r="J25" s="3"/>
      <c r="K25" s="3" t="s">
        <v>98</v>
      </c>
      <c r="L25" s="3"/>
    </row>
    <row r="26" customFormat="false" ht="15" hidden="false" customHeight="true" outlineLevel="0" collapsed="false">
      <c r="A26" s="3" t="s">
        <v>99</v>
      </c>
      <c r="B26" s="3" t="s">
        <v>13</v>
      </c>
      <c r="C26" s="3" t="s">
        <v>14</v>
      </c>
      <c r="D26" s="3" t="s">
        <v>100</v>
      </c>
      <c r="E26" s="3" t="s">
        <v>16</v>
      </c>
      <c r="F26" s="6" t="s">
        <v>101</v>
      </c>
      <c r="G26" s="3" t="s">
        <v>29</v>
      </c>
      <c r="H26" s="3"/>
      <c r="I26" s="3" t="s">
        <v>30</v>
      </c>
      <c r="J26" s="3"/>
      <c r="K26" s="3" t="s">
        <v>102</v>
      </c>
      <c r="L26" s="3"/>
    </row>
    <row r="27" customFormat="false" ht="15" hidden="false" customHeight="true" outlineLevel="0" collapsed="false">
      <c r="A27" s="3" t="s">
        <v>103</v>
      </c>
      <c r="B27" s="3" t="s">
        <v>13</v>
      </c>
      <c r="C27" s="3" t="s">
        <v>14</v>
      </c>
      <c r="D27" s="3" t="s">
        <v>104</v>
      </c>
      <c r="E27" s="3" t="s">
        <v>16</v>
      </c>
      <c r="F27" s="6" t="s">
        <v>101</v>
      </c>
      <c r="G27" s="3" t="s">
        <v>29</v>
      </c>
      <c r="H27" s="3"/>
      <c r="I27" s="3" t="s">
        <v>30</v>
      </c>
      <c r="J27" s="3"/>
      <c r="K27" s="3" t="s">
        <v>105</v>
      </c>
      <c r="L27" s="3"/>
    </row>
    <row r="28" customFormat="false" ht="15" hidden="false" customHeight="true" outlineLevel="0" collapsed="false">
      <c r="A28" s="3" t="s">
        <v>106</v>
      </c>
      <c r="B28" s="3" t="s">
        <v>13</v>
      </c>
      <c r="C28" s="3" t="s">
        <v>14</v>
      </c>
      <c r="D28" s="3" t="s">
        <v>107</v>
      </c>
      <c r="E28" s="3" t="s">
        <v>16</v>
      </c>
      <c r="F28" s="6" t="s">
        <v>101</v>
      </c>
      <c r="G28" s="3" t="s">
        <v>108</v>
      </c>
      <c r="H28" s="3"/>
      <c r="I28" s="3" t="s">
        <v>109</v>
      </c>
      <c r="J28" s="3"/>
      <c r="K28" s="3" t="s">
        <v>110</v>
      </c>
      <c r="L28" s="3"/>
    </row>
    <row r="29" customFormat="false" ht="15" hidden="false" customHeight="true" outlineLevel="0" collapsed="false">
      <c r="A29" s="3" t="s">
        <v>111</v>
      </c>
      <c r="B29" s="3" t="s">
        <v>13</v>
      </c>
      <c r="C29" s="3" t="s">
        <v>14</v>
      </c>
      <c r="D29" s="3" t="s">
        <v>112</v>
      </c>
      <c r="E29" s="3" t="s">
        <v>16</v>
      </c>
      <c r="F29" s="6" t="s">
        <v>101</v>
      </c>
      <c r="G29" s="3" t="s">
        <v>29</v>
      </c>
      <c r="H29" s="3"/>
      <c r="I29" s="3" t="s">
        <v>30</v>
      </c>
      <c r="J29" s="3"/>
      <c r="K29" s="3" t="s">
        <v>113</v>
      </c>
      <c r="L29" s="3"/>
    </row>
    <row r="30" customFormat="false" ht="15" hidden="false" customHeight="true" outlineLevel="0" collapsed="false">
      <c r="A30" s="3" t="s">
        <v>114</v>
      </c>
      <c r="B30" s="3" t="s">
        <v>13</v>
      </c>
      <c r="C30" s="3" t="s">
        <v>14</v>
      </c>
      <c r="D30" s="3" t="s">
        <v>115</v>
      </c>
      <c r="E30" s="3" t="s">
        <v>16</v>
      </c>
      <c r="F30" s="6" t="s">
        <v>101</v>
      </c>
      <c r="G30" s="3" t="s">
        <v>29</v>
      </c>
      <c r="H30" s="3"/>
      <c r="I30" s="3" t="s">
        <v>30</v>
      </c>
      <c r="J30" s="3"/>
      <c r="K30" s="3" t="s">
        <v>116</v>
      </c>
      <c r="L30" s="3"/>
    </row>
    <row r="31" customFormat="false" ht="15" hidden="false" customHeight="true" outlineLevel="0" collapsed="false">
      <c r="A31" s="3" t="s">
        <v>117</v>
      </c>
      <c r="B31" s="3" t="s">
        <v>13</v>
      </c>
      <c r="C31" s="3" t="s">
        <v>14</v>
      </c>
      <c r="D31" s="3" t="s">
        <v>118</v>
      </c>
      <c r="E31" s="3" t="s">
        <v>75</v>
      </c>
      <c r="F31" s="6" t="s">
        <v>101</v>
      </c>
      <c r="G31" s="3" t="s">
        <v>29</v>
      </c>
      <c r="H31" s="3"/>
      <c r="I31" s="3" t="s">
        <v>30</v>
      </c>
      <c r="J31" s="3"/>
      <c r="K31" s="3" t="s">
        <v>119</v>
      </c>
      <c r="L31" s="3"/>
    </row>
    <row r="32" customFormat="false" ht="15" hidden="false" customHeight="true" outlineLevel="0" collapsed="false">
      <c r="A32" s="3" t="s">
        <v>120</v>
      </c>
      <c r="B32" s="3" t="s">
        <v>121</v>
      </c>
      <c r="C32" s="3" t="s">
        <v>122</v>
      </c>
      <c r="D32" s="3" t="s">
        <v>15</v>
      </c>
      <c r="E32" s="3" t="s">
        <v>16</v>
      </c>
      <c r="F32" s="4" t="s">
        <v>17</v>
      </c>
      <c r="G32" s="3" t="s">
        <v>18</v>
      </c>
      <c r="H32" s="3"/>
      <c r="I32" s="3" t="s">
        <v>18</v>
      </c>
      <c r="J32" s="3"/>
      <c r="K32" s="3" t="s">
        <v>123</v>
      </c>
      <c r="L32" s="3"/>
    </row>
    <row r="33" customFormat="false" ht="32.25" hidden="false" customHeight="true" outlineLevel="0" collapsed="false">
      <c r="A33" s="3" t="s">
        <v>124</v>
      </c>
      <c r="B33" s="3" t="s">
        <v>121</v>
      </c>
      <c r="C33" s="3" t="s">
        <v>122</v>
      </c>
      <c r="D33" s="3" t="s">
        <v>21</v>
      </c>
      <c r="E33" s="3" t="s">
        <v>16</v>
      </c>
      <c r="F33" s="4" t="s">
        <v>17</v>
      </c>
      <c r="G33" s="3" t="s">
        <v>18</v>
      </c>
      <c r="H33" s="3"/>
      <c r="I33" s="3" t="s">
        <v>18</v>
      </c>
      <c r="J33" s="5" t="s">
        <v>22</v>
      </c>
      <c r="K33" s="3" t="s">
        <v>125</v>
      </c>
      <c r="L33" s="3"/>
    </row>
    <row r="34" customFormat="false" ht="15" hidden="false" customHeight="true" outlineLevel="0" collapsed="false">
      <c r="A34" s="3" t="s">
        <v>126</v>
      </c>
      <c r="B34" s="3" t="s">
        <v>121</v>
      </c>
      <c r="C34" s="3" t="s">
        <v>122</v>
      </c>
      <c r="D34" s="3" t="s">
        <v>25</v>
      </c>
      <c r="E34" s="3" t="s">
        <v>16</v>
      </c>
      <c r="F34" s="4" t="s">
        <v>17</v>
      </c>
      <c r="G34" s="3" t="s">
        <v>29</v>
      </c>
      <c r="H34" s="3"/>
      <c r="I34" s="3" t="s">
        <v>30</v>
      </c>
      <c r="J34" s="3"/>
      <c r="K34" s="3" t="s">
        <v>127</v>
      </c>
      <c r="L34" s="3"/>
    </row>
    <row r="35" customFormat="false" ht="15" hidden="false" customHeight="true" outlineLevel="0" collapsed="false">
      <c r="A35" s="3" t="s">
        <v>128</v>
      </c>
      <c r="B35" s="3" t="s">
        <v>121</v>
      </c>
      <c r="C35" s="3" t="s">
        <v>122</v>
      </c>
      <c r="D35" s="3" t="s">
        <v>28</v>
      </c>
      <c r="E35" s="3" t="s">
        <v>16</v>
      </c>
      <c r="F35" s="4" t="s">
        <v>17</v>
      </c>
      <c r="G35" s="3" t="s">
        <v>29</v>
      </c>
      <c r="H35" s="3"/>
      <c r="I35" s="3" t="s">
        <v>30</v>
      </c>
      <c r="J35" s="3"/>
      <c r="K35" s="3" t="s">
        <v>129</v>
      </c>
      <c r="L35" s="3"/>
    </row>
    <row r="36" customFormat="false" ht="15" hidden="false" customHeight="true" outlineLevel="0" collapsed="false">
      <c r="A36" s="3" t="s">
        <v>130</v>
      </c>
      <c r="B36" s="3" t="s">
        <v>121</v>
      </c>
      <c r="C36" s="3" t="s">
        <v>122</v>
      </c>
      <c r="D36" s="3" t="s">
        <v>33</v>
      </c>
      <c r="E36" s="3" t="s">
        <v>16</v>
      </c>
      <c r="F36" s="4" t="s">
        <v>17</v>
      </c>
      <c r="G36" s="3" t="s">
        <v>29</v>
      </c>
      <c r="H36" s="3"/>
      <c r="I36" s="3" t="s">
        <v>30</v>
      </c>
      <c r="J36" s="3"/>
      <c r="K36" s="3" t="s">
        <v>131</v>
      </c>
      <c r="L36" s="3"/>
    </row>
    <row r="37" customFormat="false" ht="21.75" hidden="false" customHeight="true" outlineLevel="0" collapsed="false">
      <c r="A37" s="3" t="s">
        <v>132</v>
      </c>
      <c r="B37" s="3" t="s">
        <v>121</v>
      </c>
      <c r="C37" s="3" t="s">
        <v>122</v>
      </c>
      <c r="D37" s="3" t="s">
        <v>36</v>
      </c>
      <c r="E37" s="3" t="s">
        <v>16</v>
      </c>
      <c r="F37" s="4" t="s">
        <v>17</v>
      </c>
      <c r="G37" s="3" t="s">
        <v>29</v>
      </c>
      <c r="H37" s="3"/>
      <c r="I37" s="3" t="s">
        <v>30</v>
      </c>
      <c r="J37" s="3"/>
      <c r="K37" s="3" t="s">
        <v>133</v>
      </c>
      <c r="L37" s="7" t="s">
        <v>134</v>
      </c>
    </row>
    <row r="38" customFormat="false" ht="15" hidden="false" customHeight="true" outlineLevel="0" collapsed="false">
      <c r="A38" s="3" t="s">
        <v>135</v>
      </c>
      <c r="B38" s="3" t="s">
        <v>121</v>
      </c>
      <c r="C38" s="3" t="s">
        <v>122</v>
      </c>
      <c r="D38" s="3" t="s">
        <v>39</v>
      </c>
      <c r="E38" s="3" t="s">
        <v>16</v>
      </c>
      <c r="F38" s="4" t="s">
        <v>17</v>
      </c>
      <c r="G38" s="3" t="s">
        <v>29</v>
      </c>
      <c r="H38" s="3"/>
      <c r="I38" s="3" t="s">
        <v>30</v>
      </c>
      <c r="J38" s="3"/>
      <c r="K38" s="3" t="s">
        <v>136</v>
      </c>
      <c r="L38" s="3"/>
    </row>
    <row r="39" customFormat="false" ht="15" hidden="false" customHeight="true" outlineLevel="0" collapsed="false">
      <c r="A39" s="3" t="s">
        <v>137</v>
      </c>
      <c r="B39" s="3" t="s">
        <v>121</v>
      </c>
      <c r="C39" s="3" t="s">
        <v>122</v>
      </c>
      <c r="D39" s="3" t="s">
        <v>42</v>
      </c>
      <c r="E39" s="3" t="s">
        <v>16</v>
      </c>
      <c r="F39" s="4" t="s">
        <v>17</v>
      </c>
      <c r="G39" s="3" t="s">
        <v>29</v>
      </c>
      <c r="H39" s="3"/>
      <c r="I39" s="3" t="s">
        <v>30</v>
      </c>
      <c r="J39" s="3"/>
      <c r="K39" s="3" t="s">
        <v>138</v>
      </c>
      <c r="L39" s="3"/>
    </row>
    <row r="40" customFormat="false" ht="15" hidden="false" customHeight="true" outlineLevel="0" collapsed="false">
      <c r="A40" s="3" t="s">
        <v>139</v>
      </c>
      <c r="B40" s="3" t="s">
        <v>121</v>
      </c>
      <c r="C40" s="3" t="s">
        <v>122</v>
      </c>
      <c r="D40" s="3" t="s">
        <v>46</v>
      </c>
      <c r="E40" s="3" t="s">
        <v>16</v>
      </c>
      <c r="F40" s="4" t="s">
        <v>17</v>
      </c>
      <c r="G40" s="3" t="s">
        <v>29</v>
      </c>
      <c r="H40" s="3"/>
      <c r="I40" s="3" t="s">
        <v>30</v>
      </c>
      <c r="J40" s="3"/>
      <c r="K40" s="3" t="s">
        <v>50</v>
      </c>
      <c r="L40" s="3"/>
    </row>
    <row r="41" customFormat="false" ht="15" hidden="false" customHeight="true" outlineLevel="0" collapsed="false">
      <c r="A41" s="3" t="s">
        <v>140</v>
      </c>
      <c r="B41" s="3" t="s">
        <v>121</v>
      </c>
      <c r="C41" s="3" t="s">
        <v>122</v>
      </c>
      <c r="D41" s="3" t="s">
        <v>49</v>
      </c>
      <c r="E41" s="3" t="s">
        <v>16</v>
      </c>
      <c r="F41" s="4" t="s">
        <v>17</v>
      </c>
      <c r="G41" s="3" t="s">
        <v>29</v>
      </c>
      <c r="H41" s="3"/>
      <c r="I41" s="3" t="s">
        <v>30</v>
      </c>
      <c r="J41" s="3"/>
      <c r="K41" s="3" t="s">
        <v>141</v>
      </c>
      <c r="L41" s="3"/>
    </row>
    <row r="42" customFormat="false" ht="15" hidden="false" customHeight="true" outlineLevel="0" collapsed="false">
      <c r="A42" s="3" t="s">
        <v>142</v>
      </c>
      <c r="B42" s="3" t="s">
        <v>121</v>
      </c>
      <c r="C42" s="3" t="s">
        <v>122</v>
      </c>
      <c r="D42" s="3" t="s">
        <v>52</v>
      </c>
      <c r="E42" s="3" t="s">
        <v>16</v>
      </c>
      <c r="F42" s="4" t="s">
        <v>17</v>
      </c>
      <c r="G42" s="3" t="s">
        <v>29</v>
      </c>
      <c r="H42" s="3"/>
      <c r="I42" s="3" t="s">
        <v>30</v>
      </c>
      <c r="J42" s="3"/>
      <c r="K42" s="3" t="s">
        <v>143</v>
      </c>
      <c r="L42" s="3"/>
    </row>
    <row r="43" customFormat="false" ht="21.75" hidden="false" customHeight="true" outlineLevel="0" collapsed="false">
      <c r="A43" s="3" t="s">
        <v>144</v>
      </c>
      <c r="B43" s="3" t="s">
        <v>121</v>
      </c>
      <c r="C43" s="3" t="s">
        <v>122</v>
      </c>
      <c r="D43" s="3" t="s">
        <v>55</v>
      </c>
      <c r="E43" s="3" t="s">
        <v>16</v>
      </c>
      <c r="F43" s="4" t="s">
        <v>17</v>
      </c>
      <c r="G43" s="3" t="s">
        <v>29</v>
      </c>
      <c r="H43" s="3"/>
      <c r="I43" s="3" t="s">
        <v>30</v>
      </c>
      <c r="J43" s="3"/>
      <c r="K43" s="3" t="s">
        <v>145</v>
      </c>
      <c r="L43" s="3"/>
    </row>
    <row r="44" customFormat="false" ht="15" hidden="false" customHeight="true" outlineLevel="0" collapsed="false">
      <c r="A44" s="3" t="s">
        <v>146</v>
      </c>
      <c r="B44" s="3" t="s">
        <v>121</v>
      </c>
      <c r="C44" s="3" t="s">
        <v>122</v>
      </c>
      <c r="D44" s="3" t="s">
        <v>58</v>
      </c>
      <c r="E44" s="3" t="s">
        <v>16</v>
      </c>
      <c r="F44" s="4" t="s">
        <v>17</v>
      </c>
      <c r="G44" s="3" t="s">
        <v>29</v>
      </c>
      <c r="H44" s="3"/>
      <c r="I44" s="3" t="s">
        <v>30</v>
      </c>
      <c r="J44" s="3"/>
      <c r="K44" s="3" t="s">
        <v>147</v>
      </c>
      <c r="L44" s="3"/>
    </row>
    <row r="45" customFormat="false" ht="21.75" hidden="false" customHeight="true" outlineLevel="0" collapsed="false">
      <c r="A45" s="3" t="s">
        <v>148</v>
      </c>
      <c r="B45" s="3" t="s">
        <v>121</v>
      </c>
      <c r="C45" s="3" t="s">
        <v>122</v>
      </c>
      <c r="D45" s="3" t="s">
        <v>61</v>
      </c>
      <c r="E45" s="3" t="s">
        <v>16</v>
      </c>
      <c r="F45" s="4" t="s">
        <v>17</v>
      </c>
      <c r="G45" s="3" t="s">
        <v>29</v>
      </c>
      <c r="H45" s="3"/>
      <c r="I45" s="3" t="s">
        <v>30</v>
      </c>
      <c r="J45" s="5" t="s">
        <v>149</v>
      </c>
      <c r="K45" s="3" t="s">
        <v>150</v>
      </c>
      <c r="L45" s="3"/>
    </row>
    <row r="46" customFormat="false" ht="15" hidden="false" customHeight="true" outlineLevel="0" collapsed="false">
      <c r="A46" s="3" t="s">
        <v>151</v>
      </c>
      <c r="B46" s="3" t="s">
        <v>121</v>
      </c>
      <c r="C46" s="3" t="s">
        <v>122</v>
      </c>
      <c r="D46" s="3" t="s">
        <v>65</v>
      </c>
      <c r="E46" s="3" t="s">
        <v>16</v>
      </c>
      <c r="F46" s="4" t="s">
        <v>17</v>
      </c>
      <c r="G46" s="3" t="s">
        <v>29</v>
      </c>
      <c r="H46" s="3"/>
      <c r="I46" s="3" t="s">
        <v>30</v>
      </c>
      <c r="J46" s="3"/>
      <c r="K46" s="3" t="s">
        <v>152</v>
      </c>
      <c r="L46" s="3"/>
    </row>
    <row r="47" customFormat="false" ht="15" hidden="false" customHeight="true" outlineLevel="0" collapsed="false">
      <c r="A47" s="3" t="s">
        <v>153</v>
      </c>
      <c r="B47" s="3" t="s">
        <v>121</v>
      </c>
      <c r="C47" s="3" t="s">
        <v>122</v>
      </c>
      <c r="D47" s="3" t="s">
        <v>68</v>
      </c>
      <c r="E47" s="3" t="s">
        <v>16</v>
      </c>
      <c r="F47" s="4" t="s">
        <v>17</v>
      </c>
      <c r="G47" s="3" t="s">
        <v>29</v>
      </c>
      <c r="H47" s="8" t="s">
        <v>154</v>
      </c>
      <c r="I47" s="3" t="s">
        <v>30</v>
      </c>
      <c r="J47" s="3"/>
      <c r="K47" s="3" t="s">
        <v>155</v>
      </c>
      <c r="L47" s="3"/>
    </row>
    <row r="48" customFormat="false" ht="15" hidden="false" customHeight="true" outlineLevel="0" collapsed="false">
      <c r="A48" s="3" t="s">
        <v>156</v>
      </c>
      <c r="B48" s="3" t="s">
        <v>121</v>
      </c>
      <c r="C48" s="3" t="s">
        <v>122</v>
      </c>
      <c r="D48" s="3" t="s">
        <v>71</v>
      </c>
      <c r="E48" s="3" t="s">
        <v>16</v>
      </c>
      <c r="F48" s="4" t="s">
        <v>17</v>
      </c>
      <c r="G48" s="3" t="s">
        <v>18</v>
      </c>
      <c r="H48" s="8" t="s">
        <v>154</v>
      </c>
      <c r="I48" s="3" t="s">
        <v>18</v>
      </c>
      <c r="J48" s="3"/>
      <c r="K48" s="3" t="s">
        <v>157</v>
      </c>
      <c r="L48" s="3"/>
    </row>
    <row r="49" customFormat="false" ht="15" hidden="false" customHeight="true" outlineLevel="0" collapsed="false">
      <c r="A49" s="3" t="s">
        <v>158</v>
      </c>
      <c r="B49" s="3" t="s">
        <v>121</v>
      </c>
      <c r="C49" s="3" t="s">
        <v>122</v>
      </c>
      <c r="D49" s="3" t="s">
        <v>159</v>
      </c>
      <c r="E49" s="3" t="s">
        <v>16</v>
      </c>
      <c r="F49" s="4" t="s">
        <v>17</v>
      </c>
      <c r="G49" s="3" t="s">
        <v>29</v>
      </c>
      <c r="H49" s="8" t="s">
        <v>160</v>
      </c>
      <c r="I49" s="3" t="s">
        <v>30</v>
      </c>
      <c r="J49" s="3"/>
      <c r="K49" s="3" t="s">
        <v>161</v>
      </c>
      <c r="L49" s="3"/>
    </row>
    <row r="50" customFormat="false" ht="15" hidden="false" customHeight="true" outlineLevel="0" collapsed="false">
      <c r="A50" s="3" t="s">
        <v>162</v>
      </c>
      <c r="B50" s="3" t="s">
        <v>121</v>
      </c>
      <c r="C50" s="3" t="s">
        <v>122</v>
      </c>
      <c r="D50" s="3" t="s">
        <v>163</v>
      </c>
      <c r="E50" s="3" t="s">
        <v>16</v>
      </c>
      <c r="F50" s="4" t="s">
        <v>17</v>
      </c>
      <c r="G50" s="3" t="s">
        <v>29</v>
      </c>
      <c r="H50" s="8" t="s">
        <v>160</v>
      </c>
      <c r="I50" s="3" t="s">
        <v>30</v>
      </c>
      <c r="J50" s="3"/>
      <c r="K50" s="3" t="s">
        <v>164</v>
      </c>
      <c r="L50" s="3"/>
    </row>
    <row r="51" customFormat="false" ht="21.75" hidden="false" customHeight="true" outlineLevel="0" collapsed="false">
      <c r="A51" s="3" t="s">
        <v>165</v>
      </c>
      <c r="B51" s="3" t="s">
        <v>121</v>
      </c>
      <c r="C51" s="3" t="s">
        <v>122</v>
      </c>
      <c r="D51" s="3" t="s">
        <v>166</v>
      </c>
      <c r="E51" s="3" t="s">
        <v>16</v>
      </c>
      <c r="F51" s="4" t="s">
        <v>17</v>
      </c>
      <c r="G51" s="3" t="s">
        <v>29</v>
      </c>
      <c r="H51" s="3"/>
      <c r="I51" s="3" t="s">
        <v>30</v>
      </c>
      <c r="J51" s="3"/>
      <c r="K51" s="3" t="s">
        <v>72</v>
      </c>
      <c r="L51" s="3"/>
    </row>
    <row r="52" customFormat="false" ht="15" hidden="false" customHeight="true" outlineLevel="0" collapsed="false">
      <c r="A52" s="3" t="s">
        <v>167</v>
      </c>
      <c r="B52" s="3" t="s">
        <v>121</v>
      </c>
      <c r="C52" s="3" t="s">
        <v>122</v>
      </c>
      <c r="D52" s="3" t="s">
        <v>74</v>
      </c>
      <c r="E52" s="3" t="s">
        <v>75</v>
      </c>
      <c r="F52" s="4" t="s">
        <v>17</v>
      </c>
      <c r="G52" s="3" t="s">
        <v>29</v>
      </c>
      <c r="H52" s="3"/>
      <c r="I52" s="3" t="s">
        <v>30</v>
      </c>
      <c r="J52" s="3"/>
      <c r="K52" s="3" t="s">
        <v>168</v>
      </c>
      <c r="L52" s="3"/>
    </row>
    <row r="53" customFormat="false" ht="15" hidden="false" customHeight="true" outlineLevel="0" collapsed="false">
      <c r="A53" s="3" t="s">
        <v>169</v>
      </c>
      <c r="B53" s="3" t="s">
        <v>121</v>
      </c>
      <c r="C53" s="3" t="s">
        <v>122</v>
      </c>
      <c r="D53" s="3" t="s">
        <v>81</v>
      </c>
      <c r="E53" s="3" t="s">
        <v>75</v>
      </c>
      <c r="F53" s="4" t="s">
        <v>17</v>
      </c>
      <c r="G53" s="3" t="s">
        <v>29</v>
      </c>
      <c r="H53" s="3"/>
      <c r="I53" s="3" t="s">
        <v>30</v>
      </c>
      <c r="J53" s="3"/>
      <c r="K53" s="3" t="s">
        <v>170</v>
      </c>
      <c r="L53" s="3"/>
    </row>
    <row r="54" customFormat="false" ht="21.75" hidden="false" customHeight="true" outlineLevel="0" collapsed="false">
      <c r="A54" s="3" t="s">
        <v>171</v>
      </c>
      <c r="B54" s="3" t="s">
        <v>121</v>
      </c>
      <c r="C54" s="3" t="s">
        <v>122</v>
      </c>
      <c r="D54" s="3" t="s">
        <v>84</v>
      </c>
      <c r="E54" s="3" t="s">
        <v>75</v>
      </c>
      <c r="F54" s="4" t="s">
        <v>17</v>
      </c>
      <c r="G54" s="3" t="s">
        <v>29</v>
      </c>
      <c r="H54" s="8" t="s">
        <v>154</v>
      </c>
      <c r="I54" s="3" t="s">
        <v>30</v>
      </c>
      <c r="J54" s="5" t="s">
        <v>172</v>
      </c>
      <c r="K54" s="3" t="s">
        <v>173</v>
      </c>
      <c r="L54" s="3"/>
    </row>
    <row r="55" customFormat="false" ht="15" hidden="false" customHeight="true" outlineLevel="0" collapsed="false">
      <c r="A55" s="3" t="s">
        <v>174</v>
      </c>
      <c r="B55" s="3" t="s">
        <v>121</v>
      </c>
      <c r="C55" s="3" t="s">
        <v>122</v>
      </c>
      <c r="D55" s="3" t="s">
        <v>87</v>
      </c>
      <c r="E55" s="3" t="s">
        <v>75</v>
      </c>
      <c r="F55" s="4" t="s">
        <v>17</v>
      </c>
      <c r="G55" s="3" t="s">
        <v>29</v>
      </c>
      <c r="H55" s="8" t="s">
        <v>154</v>
      </c>
      <c r="I55" s="3" t="s">
        <v>30</v>
      </c>
      <c r="J55" s="3"/>
      <c r="K55" s="3" t="s">
        <v>175</v>
      </c>
      <c r="L55" s="3"/>
    </row>
    <row r="56" customFormat="false" ht="15" hidden="false" customHeight="true" outlineLevel="0" collapsed="false">
      <c r="A56" s="3" t="s">
        <v>176</v>
      </c>
      <c r="B56" s="3" t="s">
        <v>121</v>
      </c>
      <c r="C56" s="3" t="s">
        <v>122</v>
      </c>
      <c r="D56" s="3" t="s">
        <v>100</v>
      </c>
      <c r="E56" s="3" t="s">
        <v>16</v>
      </c>
      <c r="F56" s="6" t="s">
        <v>101</v>
      </c>
      <c r="G56" s="3" t="s">
        <v>29</v>
      </c>
      <c r="H56" s="3"/>
      <c r="I56" s="3" t="s">
        <v>30</v>
      </c>
      <c r="J56" s="3"/>
      <c r="K56" s="3" t="s">
        <v>102</v>
      </c>
      <c r="L56" s="3"/>
    </row>
    <row r="57" customFormat="false" ht="15" hidden="false" customHeight="true" outlineLevel="0" collapsed="false">
      <c r="A57" s="3" t="s">
        <v>177</v>
      </c>
      <c r="B57" s="3" t="s">
        <v>121</v>
      </c>
      <c r="C57" s="3" t="s">
        <v>122</v>
      </c>
      <c r="D57" s="3" t="s">
        <v>104</v>
      </c>
      <c r="E57" s="3" t="s">
        <v>16</v>
      </c>
      <c r="F57" s="6" t="s">
        <v>101</v>
      </c>
      <c r="G57" s="3" t="s">
        <v>29</v>
      </c>
      <c r="H57" s="3"/>
      <c r="I57" s="3" t="s">
        <v>30</v>
      </c>
      <c r="J57" s="3"/>
      <c r="K57" s="3" t="s">
        <v>178</v>
      </c>
      <c r="L57" s="3"/>
    </row>
    <row r="58" customFormat="false" ht="15" hidden="false" customHeight="true" outlineLevel="0" collapsed="false">
      <c r="A58" s="3" t="s">
        <v>179</v>
      </c>
      <c r="B58" s="3" t="s">
        <v>121</v>
      </c>
      <c r="C58" s="3" t="s">
        <v>122</v>
      </c>
      <c r="D58" s="3" t="s">
        <v>107</v>
      </c>
      <c r="E58" s="3" t="s">
        <v>16</v>
      </c>
      <c r="F58" s="6" t="s">
        <v>101</v>
      </c>
      <c r="G58" s="3" t="s">
        <v>29</v>
      </c>
      <c r="H58" s="3"/>
      <c r="I58" s="3" t="s">
        <v>30</v>
      </c>
      <c r="J58" s="3"/>
      <c r="K58" s="3" t="s">
        <v>180</v>
      </c>
      <c r="L58" s="3"/>
    </row>
    <row r="59" customFormat="false" ht="15" hidden="false" customHeight="true" outlineLevel="0" collapsed="false">
      <c r="A59" s="3" t="s">
        <v>181</v>
      </c>
      <c r="B59" s="3" t="s">
        <v>121</v>
      </c>
      <c r="C59" s="3" t="s">
        <v>122</v>
      </c>
      <c r="D59" s="3" t="s">
        <v>112</v>
      </c>
      <c r="E59" s="3" t="s">
        <v>16</v>
      </c>
      <c r="F59" s="6" t="s">
        <v>101</v>
      </c>
      <c r="G59" s="3" t="s">
        <v>29</v>
      </c>
      <c r="H59" s="3"/>
      <c r="I59" s="3" t="s">
        <v>30</v>
      </c>
      <c r="J59" s="3"/>
      <c r="K59" s="3" t="s">
        <v>182</v>
      </c>
      <c r="L59" s="3"/>
    </row>
    <row r="60" customFormat="false" ht="15" hidden="false" customHeight="true" outlineLevel="0" collapsed="false">
      <c r="A60" s="3" t="s">
        <v>183</v>
      </c>
      <c r="B60" s="3" t="s">
        <v>121</v>
      </c>
      <c r="C60" s="3" t="s">
        <v>122</v>
      </c>
      <c r="D60" s="3" t="s">
        <v>115</v>
      </c>
      <c r="E60" s="3" t="s">
        <v>16</v>
      </c>
      <c r="F60" s="6" t="s">
        <v>101</v>
      </c>
      <c r="G60" s="3" t="s">
        <v>29</v>
      </c>
      <c r="H60" s="3"/>
      <c r="I60" s="3" t="s">
        <v>30</v>
      </c>
      <c r="J60" s="3"/>
      <c r="K60" s="3" t="s">
        <v>184</v>
      </c>
      <c r="L60" s="3"/>
    </row>
    <row r="61" customFormat="false" ht="15" hidden="false" customHeight="true" outlineLevel="0" collapsed="false">
      <c r="A61" s="3" t="s">
        <v>185</v>
      </c>
      <c r="B61" s="3" t="s">
        <v>121</v>
      </c>
      <c r="C61" s="3" t="s">
        <v>122</v>
      </c>
      <c r="D61" s="3" t="s">
        <v>186</v>
      </c>
      <c r="E61" s="3" t="s">
        <v>16</v>
      </c>
      <c r="F61" s="6" t="s">
        <v>101</v>
      </c>
      <c r="G61" s="3" t="s">
        <v>29</v>
      </c>
      <c r="H61" s="3"/>
      <c r="I61" s="3" t="s">
        <v>30</v>
      </c>
      <c r="J61" s="3"/>
      <c r="K61" s="3" t="s">
        <v>187</v>
      </c>
      <c r="L61" s="3"/>
    </row>
    <row r="62" customFormat="false" ht="15" hidden="false" customHeight="true" outlineLevel="0" collapsed="false">
      <c r="A62" s="3" t="s">
        <v>188</v>
      </c>
      <c r="B62" s="3" t="s">
        <v>121</v>
      </c>
      <c r="C62" s="3" t="s">
        <v>122</v>
      </c>
      <c r="D62" s="3" t="s">
        <v>189</v>
      </c>
      <c r="E62" s="3" t="s">
        <v>16</v>
      </c>
      <c r="F62" s="6" t="s">
        <v>101</v>
      </c>
      <c r="G62" s="3" t="s">
        <v>29</v>
      </c>
      <c r="H62" s="3"/>
      <c r="I62" s="3" t="s">
        <v>30</v>
      </c>
      <c r="J62" s="3"/>
      <c r="K62" s="3" t="s">
        <v>113</v>
      </c>
      <c r="L62" s="3"/>
    </row>
    <row r="63" customFormat="false" ht="15" hidden="false" customHeight="true" outlineLevel="0" collapsed="false">
      <c r="A63" s="3" t="s">
        <v>190</v>
      </c>
      <c r="B63" s="3" t="s">
        <v>121</v>
      </c>
      <c r="C63" s="3" t="s">
        <v>122</v>
      </c>
      <c r="D63" s="3" t="s">
        <v>191</v>
      </c>
      <c r="E63" s="3" t="s">
        <v>16</v>
      </c>
      <c r="F63" s="6" t="s">
        <v>101</v>
      </c>
      <c r="G63" s="3" t="s">
        <v>29</v>
      </c>
      <c r="H63" s="3"/>
      <c r="I63" s="3" t="s">
        <v>30</v>
      </c>
      <c r="J63" s="3"/>
      <c r="K63" s="3" t="s">
        <v>116</v>
      </c>
      <c r="L63" s="3"/>
    </row>
    <row r="64" customFormat="false" ht="15" hidden="false" customHeight="true" outlineLevel="0" collapsed="false">
      <c r="A64" s="3" t="s">
        <v>192</v>
      </c>
      <c r="B64" s="3" t="s">
        <v>121</v>
      </c>
      <c r="C64" s="3" t="s">
        <v>122</v>
      </c>
      <c r="D64" s="3" t="s">
        <v>193</v>
      </c>
      <c r="E64" s="3" t="s">
        <v>16</v>
      </c>
      <c r="F64" s="6" t="s">
        <v>101</v>
      </c>
      <c r="G64" s="3" t="s">
        <v>29</v>
      </c>
      <c r="H64" s="3"/>
      <c r="I64" s="3" t="s">
        <v>30</v>
      </c>
      <c r="J64" s="3"/>
      <c r="K64" s="3" t="s">
        <v>194</v>
      </c>
      <c r="L64" s="3"/>
    </row>
    <row r="65" customFormat="false" ht="15" hidden="false" customHeight="true" outlineLevel="0" collapsed="false">
      <c r="A65" s="3" t="s">
        <v>195</v>
      </c>
      <c r="B65" s="3" t="s">
        <v>121</v>
      </c>
      <c r="C65" s="3" t="s">
        <v>122</v>
      </c>
      <c r="D65" s="3" t="s">
        <v>196</v>
      </c>
      <c r="E65" s="3" t="s">
        <v>16</v>
      </c>
      <c r="F65" s="6" t="s">
        <v>101</v>
      </c>
      <c r="G65" s="3" t="s">
        <v>29</v>
      </c>
      <c r="H65" s="3"/>
      <c r="I65" s="3" t="s">
        <v>30</v>
      </c>
      <c r="J65" s="3"/>
      <c r="K65" s="3" t="s">
        <v>197</v>
      </c>
      <c r="L65" s="3"/>
    </row>
    <row r="66" customFormat="false" ht="15" hidden="false" customHeight="true" outlineLevel="0" collapsed="false">
      <c r="A66" s="3" t="s">
        <v>198</v>
      </c>
      <c r="B66" s="3" t="s">
        <v>121</v>
      </c>
      <c r="C66" s="3" t="s">
        <v>122</v>
      </c>
      <c r="D66" s="3" t="s">
        <v>199</v>
      </c>
      <c r="E66" s="3" t="s">
        <v>16</v>
      </c>
      <c r="F66" s="6" t="s">
        <v>101</v>
      </c>
      <c r="G66" s="3" t="s">
        <v>29</v>
      </c>
      <c r="H66" s="3"/>
      <c r="I66" s="3" t="s">
        <v>30</v>
      </c>
      <c r="J66" s="3"/>
      <c r="K66" s="3" t="s">
        <v>200</v>
      </c>
      <c r="L66" s="3"/>
    </row>
    <row r="67" customFormat="false" ht="15" hidden="false" customHeight="true" outlineLevel="0" collapsed="false">
      <c r="A67" s="3" t="s">
        <v>201</v>
      </c>
      <c r="B67" s="3" t="s">
        <v>121</v>
      </c>
      <c r="C67" s="3" t="s">
        <v>122</v>
      </c>
      <c r="D67" s="3" t="s">
        <v>202</v>
      </c>
      <c r="E67" s="3" t="s">
        <v>16</v>
      </c>
      <c r="F67" s="6" t="s">
        <v>101</v>
      </c>
      <c r="G67" s="3" t="s">
        <v>18</v>
      </c>
      <c r="H67" s="3"/>
      <c r="I67" s="3" t="s">
        <v>18</v>
      </c>
      <c r="J67" s="3"/>
      <c r="K67" s="3" t="s">
        <v>203</v>
      </c>
      <c r="L67" s="3"/>
    </row>
    <row r="68" customFormat="false" ht="15" hidden="false" customHeight="true" outlineLevel="0" collapsed="false">
      <c r="A68" s="3" t="s">
        <v>204</v>
      </c>
      <c r="B68" s="3" t="s">
        <v>121</v>
      </c>
      <c r="C68" s="3" t="s">
        <v>122</v>
      </c>
      <c r="D68" s="3" t="s">
        <v>205</v>
      </c>
      <c r="E68" s="3" t="s">
        <v>75</v>
      </c>
      <c r="F68" s="6" t="s">
        <v>101</v>
      </c>
      <c r="G68" s="3" t="s">
        <v>18</v>
      </c>
      <c r="H68" s="3"/>
      <c r="I68" s="3" t="s">
        <v>18</v>
      </c>
      <c r="J68" s="3"/>
      <c r="K68" s="3" t="s">
        <v>206</v>
      </c>
      <c r="L68" s="3"/>
    </row>
    <row r="69" customFormat="false" ht="21.75" hidden="false" customHeight="true" outlineLevel="0" collapsed="false">
      <c r="A69" s="3" t="s">
        <v>207</v>
      </c>
      <c r="B69" s="3" t="s">
        <v>208</v>
      </c>
      <c r="C69" s="3" t="s">
        <v>209</v>
      </c>
      <c r="D69" s="3" t="s">
        <v>15</v>
      </c>
      <c r="E69" s="3" t="s">
        <v>16</v>
      </c>
      <c r="F69" s="4" t="s">
        <v>17</v>
      </c>
      <c r="G69" s="3" t="s">
        <v>29</v>
      </c>
      <c r="H69" s="3"/>
      <c r="I69" s="3" t="s">
        <v>30</v>
      </c>
      <c r="J69" s="3"/>
      <c r="K69" s="3" t="s">
        <v>102</v>
      </c>
      <c r="L69" s="7" t="s">
        <v>210</v>
      </c>
    </row>
    <row r="70" customFormat="false" ht="15" hidden="false" customHeight="true" outlineLevel="0" collapsed="false">
      <c r="A70" s="3" t="s">
        <v>211</v>
      </c>
      <c r="B70" s="3" t="s">
        <v>208</v>
      </c>
      <c r="C70" s="3" t="s">
        <v>209</v>
      </c>
      <c r="D70" s="3" t="s">
        <v>21</v>
      </c>
      <c r="E70" s="3" t="s">
        <v>16</v>
      </c>
      <c r="F70" s="4" t="s">
        <v>17</v>
      </c>
      <c r="G70" s="3" t="s">
        <v>29</v>
      </c>
      <c r="H70" s="3"/>
      <c r="I70" s="3" t="s">
        <v>30</v>
      </c>
      <c r="J70" s="3"/>
      <c r="K70" s="3" t="s">
        <v>212</v>
      </c>
      <c r="L70" s="3"/>
    </row>
    <row r="71" customFormat="false" ht="15" hidden="false" customHeight="true" outlineLevel="0" collapsed="false">
      <c r="A71" s="3" t="s">
        <v>213</v>
      </c>
      <c r="B71" s="3" t="s">
        <v>208</v>
      </c>
      <c r="C71" s="3" t="s">
        <v>209</v>
      </c>
      <c r="D71" s="3" t="s">
        <v>25</v>
      </c>
      <c r="E71" s="3" t="s">
        <v>16</v>
      </c>
      <c r="F71" s="4" t="s">
        <v>17</v>
      </c>
      <c r="G71" s="3" t="s">
        <v>29</v>
      </c>
      <c r="H71" s="3"/>
      <c r="I71" s="3" t="s">
        <v>30</v>
      </c>
      <c r="J71" s="3"/>
      <c r="K71" s="3" t="s">
        <v>214</v>
      </c>
      <c r="L71" s="3"/>
    </row>
    <row r="72" customFormat="false" ht="15" hidden="false" customHeight="true" outlineLevel="0" collapsed="false">
      <c r="A72" s="3" t="s">
        <v>215</v>
      </c>
      <c r="B72" s="3" t="s">
        <v>208</v>
      </c>
      <c r="C72" s="3" t="s">
        <v>209</v>
      </c>
      <c r="D72" s="3" t="s">
        <v>28</v>
      </c>
      <c r="E72" s="3" t="s">
        <v>16</v>
      </c>
      <c r="F72" s="4" t="s">
        <v>17</v>
      </c>
      <c r="G72" s="3" t="s">
        <v>29</v>
      </c>
      <c r="H72" s="3"/>
      <c r="I72" s="3" t="s">
        <v>30</v>
      </c>
      <c r="J72" s="3"/>
      <c r="K72" s="3" t="s">
        <v>216</v>
      </c>
      <c r="L72" s="3"/>
    </row>
    <row r="73" customFormat="false" ht="15" hidden="false" customHeight="true" outlineLevel="0" collapsed="false">
      <c r="A73" s="3" t="s">
        <v>217</v>
      </c>
      <c r="B73" s="3" t="s">
        <v>208</v>
      </c>
      <c r="C73" s="3" t="s">
        <v>209</v>
      </c>
      <c r="D73" s="3" t="s">
        <v>33</v>
      </c>
      <c r="E73" s="3" t="s">
        <v>16</v>
      </c>
      <c r="F73" s="4" t="s">
        <v>17</v>
      </c>
      <c r="G73" s="3" t="s">
        <v>29</v>
      </c>
      <c r="H73" s="3"/>
      <c r="I73" s="3" t="s">
        <v>30</v>
      </c>
      <c r="J73" s="3"/>
      <c r="K73" s="3" t="s">
        <v>218</v>
      </c>
      <c r="L73" s="3"/>
    </row>
    <row r="74" customFormat="false" ht="15" hidden="false" customHeight="true" outlineLevel="0" collapsed="false">
      <c r="A74" s="3" t="s">
        <v>219</v>
      </c>
      <c r="B74" s="3" t="s">
        <v>208</v>
      </c>
      <c r="C74" s="3" t="s">
        <v>209</v>
      </c>
      <c r="D74" s="3" t="s">
        <v>36</v>
      </c>
      <c r="E74" s="3" t="s">
        <v>16</v>
      </c>
      <c r="F74" s="4" t="s">
        <v>17</v>
      </c>
      <c r="G74" s="3" t="s">
        <v>29</v>
      </c>
      <c r="H74" s="3"/>
      <c r="I74" s="3" t="s">
        <v>30</v>
      </c>
      <c r="J74" s="3"/>
      <c r="K74" s="3" t="s">
        <v>220</v>
      </c>
      <c r="L74" s="3"/>
    </row>
    <row r="75" customFormat="false" ht="15" hidden="false" customHeight="true" outlineLevel="0" collapsed="false">
      <c r="A75" s="3" t="s">
        <v>221</v>
      </c>
      <c r="B75" s="3" t="s">
        <v>208</v>
      </c>
      <c r="C75" s="3" t="s">
        <v>209</v>
      </c>
      <c r="D75" s="3" t="s">
        <v>39</v>
      </c>
      <c r="E75" s="3" t="s">
        <v>16</v>
      </c>
      <c r="F75" s="4" t="s">
        <v>17</v>
      </c>
      <c r="G75" s="3" t="s">
        <v>29</v>
      </c>
      <c r="H75" s="3"/>
      <c r="I75" s="3" t="s">
        <v>30</v>
      </c>
      <c r="J75" s="3"/>
      <c r="K75" s="3" t="s">
        <v>222</v>
      </c>
      <c r="L75" s="3"/>
    </row>
    <row r="76" customFormat="false" ht="15" hidden="false" customHeight="true" outlineLevel="0" collapsed="false">
      <c r="A76" s="3" t="s">
        <v>223</v>
      </c>
      <c r="B76" s="3" t="s">
        <v>208</v>
      </c>
      <c r="C76" s="3" t="s">
        <v>209</v>
      </c>
      <c r="D76" s="3" t="s">
        <v>42</v>
      </c>
      <c r="E76" s="3" t="s">
        <v>16</v>
      </c>
      <c r="F76" s="4" t="s">
        <v>17</v>
      </c>
      <c r="G76" s="3" t="s">
        <v>29</v>
      </c>
      <c r="H76" s="3"/>
      <c r="I76" s="3" t="s">
        <v>30</v>
      </c>
      <c r="J76" s="3"/>
      <c r="K76" s="3" t="s">
        <v>224</v>
      </c>
      <c r="L76" s="3"/>
    </row>
    <row r="77" customFormat="false" ht="15" hidden="false" customHeight="true" outlineLevel="0" collapsed="false">
      <c r="A77" s="3" t="s">
        <v>225</v>
      </c>
      <c r="B77" s="3" t="s">
        <v>208</v>
      </c>
      <c r="C77" s="3" t="s">
        <v>209</v>
      </c>
      <c r="D77" s="3" t="s">
        <v>46</v>
      </c>
      <c r="E77" s="3" t="s">
        <v>16</v>
      </c>
      <c r="F77" s="4" t="s">
        <v>17</v>
      </c>
      <c r="G77" s="3" t="s">
        <v>29</v>
      </c>
      <c r="H77" s="3"/>
      <c r="I77" s="3" t="s">
        <v>30</v>
      </c>
      <c r="J77" s="3"/>
      <c r="K77" s="3" t="s">
        <v>226</v>
      </c>
      <c r="L77" s="3"/>
    </row>
    <row r="78" customFormat="false" ht="15" hidden="false" customHeight="true" outlineLevel="0" collapsed="false">
      <c r="A78" s="3" t="s">
        <v>227</v>
      </c>
      <c r="B78" s="3" t="s">
        <v>208</v>
      </c>
      <c r="C78" s="3" t="s">
        <v>209</v>
      </c>
      <c r="D78" s="3" t="s">
        <v>49</v>
      </c>
      <c r="E78" s="3" t="s">
        <v>16</v>
      </c>
      <c r="F78" s="4" t="s">
        <v>17</v>
      </c>
      <c r="G78" s="3" t="s">
        <v>29</v>
      </c>
      <c r="H78" s="3"/>
      <c r="I78" s="3" t="s">
        <v>30</v>
      </c>
      <c r="J78" s="3"/>
      <c r="K78" s="3" t="s">
        <v>228</v>
      </c>
      <c r="L78" s="3"/>
    </row>
    <row r="79" customFormat="false" ht="21.75" hidden="false" customHeight="true" outlineLevel="0" collapsed="false">
      <c r="A79" s="3" t="s">
        <v>229</v>
      </c>
      <c r="B79" s="3" t="s">
        <v>208</v>
      </c>
      <c r="C79" s="3" t="s">
        <v>209</v>
      </c>
      <c r="D79" s="3" t="s">
        <v>52</v>
      </c>
      <c r="E79" s="3" t="s">
        <v>16</v>
      </c>
      <c r="F79" s="4" t="s">
        <v>17</v>
      </c>
      <c r="G79" s="3" t="s">
        <v>29</v>
      </c>
      <c r="H79" s="3"/>
      <c r="I79" s="3" t="s">
        <v>30</v>
      </c>
      <c r="J79" s="3"/>
      <c r="K79" s="3" t="s">
        <v>230</v>
      </c>
      <c r="L79" s="3"/>
    </row>
    <row r="80" customFormat="false" ht="21.75" hidden="false" customHeight="true" outlineLevel="0" collapsed="false">
      <c r="A80" s="3" t="s">
        <v>231</v>
      </c>
      <c r="B80" s="3" t="s">
        <v>208</v>
      </c>
      <c r="C80" s="3" t="s">
        <v>209</v>
      </c>
      <c r="D80" s="3" t="s">
        <v>55</v>
      </c>
      <c r="E80" s="3" t="s">
        <v>16</v>
      </c>
      <c r="F80" s="4" t="s">
        <v>17</v>
      </c>
      <c r="G80" s="3" t="s">
        <v>29</v>
      </c>
      <c r="H80" s="3"/>
      <c r="I80" s="3" t="s">
        <v>30</v>
      </c>
      <c r="J80" s="3"/>
      <c r="K80" s="3" t="s">
        <v>232</v>
      </c>
      <c r="L80" s="3"/>
    </row>
    <row r="81" customFormat="false" ht="15" hidden="false" customHeight="true" outlineLevel="0" collapsed="false">
      <c r="A81" s="3" t="s">
        <v>233</v>
      </c>
      <c r="B81" s="3" t="s">
        <v>208</v>
      </c>
      <c r="C81" s="3" t="s">
        <v>209</v>
      </c>
      <c r="D81" s="3" t="s">
        <v>58</v>
      </c>
      <c r="E81" s="3" t="s">
        <v>16</v>
      </c>
      <c r="F81" s="4" t="s">
        <v>17</v>
      </c>
      <c r="G81" s="3" t="s">
        <v>29</v>
      </c>
      <c r="H81" s="3"/>
      <c r="I81" s="3" t="s">
        <v>30</v>
      </c>
      <c r="J81" s="3"/>
      <c r="K81" s="3" t="s">
        <v>234</v>
      </c>
      <c r="L81" s="3"/>
    </row>
    <row r="82" customFormat="false" ht="21.75" hidden="false" customHeight="true" outlineLevel="0" collapsed="false">
      <c r="A82" s="3" t="s">
        <v>235</v>
      </c>
      <c r="B82" s="3" t="s">
        <v>208</v>
      </c>
      <c r="C82" s="3" t="s">
        <v>209</v>
      </c>
      <c r="D82" s="3" t="s">
        <v>61</v>
      </c>
      <c r="E82" s="3" t="s">
        <v>16</v>
      </c>
      <c r="F82" s="4" t="s">
        <v>17</v>
      </c>
      <c r="G82" s="3" t="s">
        <v>29</v>
      </c>
      <c r="H82" s="3"/>
      <c r="I82" s="3" t="s">
        <v>30</v>
      </c>
      <c r="J82" s="3"/>
      <c r="K82" s="3" t="s">
        <v>236</v>
      </c>
      <c r="L82" s="3"/>
    </row>
    <row r="83" customFormat="false" ht="15" hidden="false" customHeight="true" outlineLevel="0" collapsed="false">
      <c r="A83" s="3" t="s">
        <v>237</v>
      </c>
      <c r="B83" s="3" t="s">
        <v>208</v>
      </c>
      <c r="C83" s="3" t="s">
        <v>209</v>
      </c>
      <c r="D83" s="3" t="s">
        <v>65</v>
      </c>
      <c r="E83" s="3" t="s">
        <v>16</v>
      </c>
      <c r="F83" s="4" t="s">
        <v>17</v>
      </c>
      <c r="G83" s="3" t="s">
        <v>29</v>
      </c>
      <c r="H83" s="3"/>
      <c r="I83" s="3" t="s">
        <v>30</v>
      </c>
      <c r="J83" s="3"/>
      <c r="K83" s="3" t="s">
        <v>238</v>
      </c>
      <c r="L83" s="3"/>
    </row>
    <row r="84" customFormat="false" ht="15" hidden="false" customHeight="true" outlineLevel="0" collapsed="false">
      <c r="A84" s="3" t="s">
        <v>239</v>
      </c>
      <c r="B84" s="3" t="s">
        <v>208</v>
      </c>
      <c r="C84" s="3" t="s">
        <v>209</v>
      </c>
      <c r="D84" s="3" t="s">
        <v>68</v>
      </c>
      <c r="E84" s="3" t="s">
        <v>16</v>
      </c>
      <c r="F84" s="4" t="s">
        <v>17</v>
      </c>
      <c r="G84" s="3" t="s">
        <v>29</v>
      </c>
      <c r="H84" s="3"/>
      <c r="I84" s="3" t="s">
        <v>30</v>
      </c>
      <c r="J84" s="3"/>
      <c r="K84" s="3" t="s">
        <v>240</v>
      </c>
      <c r="L84" s="3"/>
    </row>
    <row r="85" customFormat="false" ht="15" hidden="false" customHeight="true" outlineLevel="0" collapsed="false">
      <c r="A85" s="3" t="s">
        <v>241</v>
      </c>
      <c r="B85" s="3" t="s">
        <v>208</v>
      </c>
      <c r="C85" s="3" t="s">
        <v>209</v>
      </c>
      <c r="D85" s="3" t="s">
        <v>71</v>
      </c>
      <c r="E85" s="3" t="s">
        <v>16</v>
      </c>
      <c r="F85" s="4" t="s">
        <v>17</v>
      </c>
      <c r="G85" s="3" t="s">
        <v>29</v>
      </c>
      <c r="H85" s="3"/>
      <c r="I85" s="3" t="s">
        <v>30</v>
      </c>
      <c r="J85" s="3"/>
      <c r="K85" s="3" t="s">
        <v>242</v>
      </c>
      <c r="L85" s="3"/>
    </row>
    <row r="86" customFormat="false" ht="15" hidden="false" customHeight="true" outlineLevel="0" collapsed="false">
      <c r="A86" s="3" t="s">
        <v>243</v>
      </c>
      <c r="B86" s="3" t="s">
        <v>208</v>
      </c>
      <c r="C86" s="3" t="s">
        <v>209</v>
      </c>
      <c r="D86" s="3" t="s">
        <v>159</v>
      </c>
      <c r="E86" s="3" t="s">
        <v>16</v>
      </c>
      <c r="F86" s="4" t="s">
        <v>17</v>
      </c>
      <c r="G86" s="3" t="s">
        <v>29</v>
      </c>
      <c r="H86" s="3"/>
      <c r="I86" s="3" t="s">
        <v>30</v>
      </c>
      <c r="J86" s="3"/>
      <c r="K86" s="3" t="s">
        <v>244</v>
      </c>
      <c r="L86" s="3"/>
    </row>
    <row r="87" customFormat="false" ht="21.75" hidden="false" customHeight="true" outlineLevel="0" collapsed="false">
      <c r="A87" s="3" t="s">
        <v>245</v>
      </c>
      <c r="B87" s="3" t="s">
        <v>208</v>
      </c>
      <c r="C87" s="3" t="s">
        <v>209</v>
      </c>
      <c r="D87" s="3" t="s">
        <v>163</v>
      </c>
      <c r="E87" s="3" t="s">
        <v>16</v>
      </c>
      <c r="F87" s="4" t="s">
        <v>17</v>
      </c>
      <c r="G87" s="3" t="s">
        <v>29</v>
      </c>
      <c r="H87" s="3"/>
      <c r="I87" s="3" t="s">
        <v>30</v>
      </c>
      <c r="J87" s="3"/>
      <c r="K87" s="3" t="s">
        <v>246</v>
      </c>
      <c r="L87" s="3"/>
    </row>
    <row r="88" customFormat="false" ht="21.75" hidden="false" customHeight="true" outlineLevel="0" collapsed="false">
      <c r="A88" s="3" t="s">
        <v>247</v>
      </c>
      <c r="B88" s="3" t="s">
        <v>208</v>
      </c>
      <c r="C88" s="3" t="s">
        <v>209</v>
      </c>
      <c r="D88" s="3" t="s">
        <v>166</v>
      </c>
      <c r="E88" s="3" t="s">
        <v>16</v>
      </c>
      <c r="F88" s="4" t="s">
        <v>17</v>
      </c>
      <c r="G88" s="3" t="s">
        <v>29</v>
      </c>
      <c r="H88" s="3"/>
      <c r="I88" s="3" t="s">
        <v>30</v>
      </c>
      <c r="J88" s="3"/>
      <c r="K88" s="3" t="s">
        <v>248</v>
      </c>
      <c r="L88" s="3"/>
    </row>
    <row r="89" customFormat="false" ht="21.75" hidden="false" customHeight="true" outlineLevel="0" collapsed="false">
      <c r="A89" s="3" t="s">
        <v>249</v>
      </c>
      <c r="B89" s="3" t="s">
        <v>208</v>
      </c>
      <c r="C89" s="3" t="s">
        <v>209</v>
      </c>
      <c r="D89" s="3" t="s">
        <v>250</v>
      </c>
      <c r="E89" s="3" t="s">
        <v>16</v>
      </c>
      <c r="F89" s="4" t="s">
        <v>17</v>
      </c>
      <c r="G89" s="3" t="s">
        <v>29</v>
      </c>
      <c r="H89" s="3"/>
      <c r="I89" s="3" t="s">
        <v>30</v>
      </c>
      <c r="J89" s="3"/>
      <c r="K89" s="3" t="s">
        <v>251</v>
      </c>
      <c r="L89" s="3"/>
    </row>
    <row r="90" customFormat="false" ht="15" hidden="false" customHeight="true" outlineLevel="0" collapsed="false">
      <c r="A90" s="3" t="s">
        <v>252</v>
      </c>
      <c r="B90" s="3" t="s">
        <v>208</v>
      </c>
      <c r="C90" s="3" t="s">
        <v>209</v>
      </c>
      <c r="D90" s="3" t="s">
        <v>253</v>
      </c>
      <c r="E90" s="3" t="s">
        <v>16</v>
      </c>
      <c r="F90" s="4" t="s">
        <v>17</v>
      </c>
      <c r="G90" s="3" t="s">
        <v>29</v>
      </c>
      <c r="H90" s="3"/>
      <c r="I90" s="3" t="s">
        <v>30</v>
      </c>
      <c r="J90" s="3"/>
      <c r="K90" s="3" t="s">
        <v>254</v>
      </c>
      <c r="L90" s="3"/>
    </row>
    <row r="91" customFormat="false" ht="21.75" hidden="false" customHeight="true" outlineLevel="0" collapsed="false">
      <c r="A91" s="3" t="s">
        <v>255</v>
      </c>
      <c r="B91" s="3" t="s">
        <v>208</v>
      </c>
      <c r="C91" s="3" t="s">
        <v>209</v>
      </c>
      <c r="D91" s="3" t="s">
        <v>256</v>
      </c>
      <c r="E91" s="3" t="s">
        <v>16</v>
      </c>
      <c r="F91" s="4" t="s">
        <v>17</v>
      </c>
      <c r="G91" s="3" t="s">
        <v>43</v>
      </c>
      <c r="H91" s="3"/>
      <c r="I91" s="3" t="s">
        <v>43</v>
      </c>
      <c r="J91" s="3"/>
      <c r="K91" s="3" t="s">
        <v>257</v>
      </c>
      <c r="L91" s="3"/>
    </row>
    <row r="92" customFormat="false" ht="21.75" hidden="false" customHeight="true" outlineLevel="0" collapsed="false">
      <c r="A92" s="3" t="s">
        <v>258</v>
      </c>
      <c r="B92" s="3" t="s">
        <v>208</v>
      </c>
      <c r="C92" s="3" t="s">
        <v>209</v>
      </c>
      <c r="D92" s="3" t="s">
        <v>259</v>
      </c>
      <c r="E92" s="3" t="s">
        <v>16</v>
      </c>
      <c r="F92" s="4" t="s">
        <v>17</v>
      </c>
      <c r="G92" s="3" t="s">
        <v>29</v>
      </c>
      <c r="H92" s="3"/>
      <c r="I92" s="3" t="s">
        <v>30</v>
      </c>
      <c r="J92" s="3"/>
      <c r="K92" s="3" t="s">
        <v>72</v>
      </c>
      <c r="L92" s="3"/>
    </row>
    <row r="93" customFormat="false" ht="15" hidden="false" customHeight="true" outlineLevel="0" collapsed="false">
      <c r="A93" s="3" t="s">
        <v>260</v>
      </c>
      <c r="B93" s="3" t="s">
        <v>208</v>
      </c>
      <c r="C93" s="3" t="s">
        <v>209</v>
      </c>
      <c r="D93" s="3" t="s">
        <v>74</v>
      </c>
      <c r="E93" s="3" t="s">
        <v>75</v>
      </c>
      <c r="F93" s="4" t="s">
        <v>17</v>
      </c>
      <c r="G93" s="3" t="s">
        <v>29</v>
      </c>
      <c r="H93" s="3"/>
      <c r="I93" s="3" t="s">
        <v>30</v>
      </c>
      <c r="J93" s="3"/>
      <c r="K93" s="3" t="s">
        <v>261</v>
      </c>
      <c r="L93" s="3"/>
    </row>
    <row r="94" customFormat="false" ht="21.75" hidden="false" customHeight="true" outlineLevel="0" collapsed="false">
      <c r="A94" s="3" t="s">
        <v>262</v>
      </c>
      <c r="B94" s="3" t="s">
        <v>208</v>
      </c>
      <c r="C94" s="3" t="s">
        <v>209</v>
      </c>
      <c r="D94" s="3" t="s">
        <v>81</v>
      </c>
      <c r="E94" s="3" t="s">
        <v>75</v>
      </c>
      <c r="F94" s="4" t="s">
        <v>17</v>
      </c>
      <c r="G94" s="3" t="s">
        <v>29</v>
      </c>
      <c r="H94" s="3"/>
      <c r="I94" s="3" t="s">
        <v>30</v>
      </c>
      <c r="J94" s="5" t="s">
        <v>172</v>
      </c>
      <c r="K94" s="3" t="s">
        <v>263</v>
      </c>
      <c r="L94" s="3"/>
    </row>
    <row r="95" customFormat="false" ht="15" hidden="false" customHeight="true" outlineLevel="0" collapsed="false">
      <c r="A95" s="3" t="s">
        <v>264</v>
      </c>
      <c r="B95" s="3" t="s">
        <v>208</v>
      </c>
      <c r="C95" s="3" t="s">
        <v>209</v>
      </c>
      <c r="D95" s="3" t="s">
        <v>84</v>
      </c>
      <c r="E95" s="3" t="s">
        <v>75</v>
      </c>
      <c r="F95" s="4" t="s">
        <v>17</v>
      </c>
      <c r="G95" s="3" t="s">
        <v>29</v>
      </c>
      <c r="H95" s="3"/>
      <c r="I95" s="3" t="s">
        <v>30</v>
      </c>
      <c r="J95" s="5" t="s">
        <v>265</v>
      </c>
      <c r="K95" s="3" t="s">
        <v>266</v>
      </c>
      <c r="L95" s="3"/>
    </row>
    <row r="96" customFormat="false" ht="15" hidden="false" customHeight="true" outlineLevel="0" collapsed="false">
      <c r="A96" s="3" t="s">
        <v>267</v>
      </c>
      <c r="B96" s="3" t="s">
        <v>208</v>
      </c>
      <c r="C96" s="3" t="s">
        <v>209</v>
      </c>
      <c r="D96" s="3" t="s">
        <v>87</v>
      </c>
      <c r="E96" s="3" t="s">
        <v>75</v>
      </c>
      <c r="F96" s="4" t="s">
        <v>17</v>
      </c>
      <c r="G96" s="3" t="s">
        <v>29</v>
      </c>
      <c r="H96" s="3"/>
      <c r="I96" s="3" t="s">
        <v>30</v>
      </c>
      <c r="J96" s="3"/>
      <c r="K96" s="3" t="s">
        <v>268</v>
      </c>
      <c r="L96" s="3"/>
    </row>
    <row r="97" customFormat="false" ht="15" hidden="false" customHeight="true" outlineLevel="0" collapsed="false">
      <c r="A97" s="3" t="s">
        <v>269</v>
      </c>
      <c r="B97" s="3" t="s">
        <v>208</v>
      </c>
      <c r="C97" s="3" t="s">
        <v>209</v>
      </c>
      <c r="D97" s="3" t="s">
        <v>90</v>
      </c>
      <c r="E97" s="3" t="s">
        <v>75</v>
      </c>
      <c r="F97" s="4" t="s">
        <v>17</v>
      </c>
      <c r="G97" s="3" t="s">
        <v>29</v>
      </c>
      <c r="H97" s="3"/>
      <c r="I97" s="3" t="s">
        <v>30</v>
      </c>
      <c r="J97" s="3"/>
      <c r="K97" s="3" t="s">
        <v>270</v>
      </c>
      <c r="L97" s="3"/>
    </row>
    <row r="98" customFormat="false" ht="15" hidden="false" customHeight="true" outlineLevel="0" collapsed="false">
      <c r="A98" s="3" t="s">
        <v>271</v>
      </c>
      <c r="B98" s="3" t="s">
        <v>208</v>
      </c>
      <c r="C98" s="3" t="s">
        <v>209</v>
      </c>
      <c r="D98" s="3" t="s">
        <v>94</v>
      </c>
      <c r="E98" s="3" t="s">
        <v>75</v>
      </c>
      <c r="F98" s="4" t="s">
        <v>17</v>
      </c>
      <c r="G98" s="3" t="s">
        <v>29</v>
      </c>
      <c r="H98" s="3"/>
      <c r="I98" s="3" t="s">
        <v>30</v>
      </c>
      <c r="J98" s="3"/>
      <c r="K98" s="3" t="s">
        <v>272</v>
      </c>
      <c r="L98" s="3"/>
    </row>
    <row r="99" customFormat="false" ht="15" hidden="false" customHeight="true" outlineLevel="0" collapsed="false">
      <c r="A99" s="3" t="s">
        <v>273</v>
      </c>
      <c r="B99" s="3" t="s">
        <v>208</v>
      </c>
      <c r="C99" s="3" t="s">
        <v>209</v>
      </c>
      <c r="D99" s="3" t="s">
        <v>97</v>
      </c>
      <c r="E99" s="3" t="s">
        <v>75</v>
      </c>
      <c r="F99" s="4" t="s">
        <v>17</v>
      </c>
      <c r="G99" s="3" t="s">
        <v>29</v>
      </c>
      <c r="H99" s="3"/>
      <c r="I99" s="3" t="s">
        <v>30</v>
      </c>
      <c r="J99" s="3"/>
      <c r="K99" s="3" t="s">
        <v>85</v>
      </c>
      <c r="L99" s="3"/>
    </row>
    <row r="100" customFormat="false" ht="15" hidden="false" customHeight="true" outlineLevel="0" collapsed="false">
      <c r="A100" s="3" t="s">
        <v>274</v>
      </c>
      <c r="B100" s="3" t="s">
        <v>208</v>
      </c>
      <c r="C100" s="3" t="s">
        <v>209</v>
      </c>
      <c r="D100" s="3" t="s">
        <v>100</v>
      </c>
      <c r="E100" s="3" t="s">
        <v>16</v>
      </c>
      <c r="F100" s="6" t="s">
        <v>101</v>
      </c>
      <c r="G100" s="3" t="s">
        <v>29</v>
      </c>
      <c r="H100" s="3"/>
      <c r="I100" s="3" t="s">
        <v>30</v>
      </c>
      <c r="J100" s="3"/>
      <c r="K100" s="3" t="s">
        <v>275</v>
      </c>
      <c r="L100" s="3"/>
    </row>
    <row r="101" customFormat="false" ht="15" hidden="false" customHeight="true" outlineLevel="0" collapsed="false">
      <c r="A101" s="3" t="s">
        <v>276</v>
      </c>
      <c r="B101" s="3" t="s">
        <v>208</v>
      </c>
      <c r="C101" s="3" t="s">
        <v>209</v>
      </c>
      <c r="D101" s="3" t="s">
        <v>104</v>
      </c>
      <c r="E101" s="3" t="s">
        <v>16</v>
      </c>
      <c r="F101" s="6" t="s">
        <v>101</v>
      </c>
      <c r="G101" s="3" t="s">
        <v>29</v>
      </c>
      <c r="H101" s="3"/>
      <c r="I101" s="3" t="s">
        <v>30</v>
      </c>
      <c r="J101" s="3"/>
      <c r="K101" s="3" t="s">
        <v>277</v>
      </c>
      <c r="L101" s="3"/>
    </row>
    <row r="102" customFormat="false" ht="15" hidden="false" customHeight="true" outlineLevel="0" collapsed="false">
      <c r="A102" s="3" t="s">
        <v>278</v>
      </c>
      <c r="B102" s="3" t="s">
        <v>208</v>
      </c>
      <c r="C102" s="3" t="s">
        <v>209</v>
      </c>
      <c r="D102" s="3" t="s">
        <v>107</v>
      </c>
      <c r="E102" s="3" t="s">
        <v>16</v>
      </c>
      <c r="F102" s="6" t="s">
        <v>101</v>
      </c>
      <c r="G102" s="3" t="s">
        <v>29</v>
      </c>
      <c r="H102" s="3"/>
      <c r="I102" s="3" t="s">
        <v>30</v>
      </c>
      <c r="J102" s="3"/>
      <c r="K102" s="3" t="s">
        <v>279</v>
      </c>
      <c r="L102" s="3"/>
    </row>
    <row r="103" customFormat="false" ht="15" hidden="false" customHeight="true" outlineLevel="0" collapsed="false">
      <c r="A103" s="3" t="s">
        <v>280</v>
      </c>
      <c r="B103" s="3" t="s">
        <v>208</v>
      </c>
      <c r="C103" s="3" t="s">
        <v>209</v>
      </c>
      <c r="D103" s="3" t="s">
        <v>112</v>
      </c>
      <c r="E103" s="3" t="s">
        <v>16</v>
      </c>
      <c r="F103" s="6" t="s">
        <v>101</v>
      </c>
      <c r="G103" s="3" t="s">
        <v>29</v>
      </c>
      <c r="H103" s="3"/>
      <c r="I103" s="3" t="s">
        <v>30</v>
      </c>
      <c r="J103" s="3"/>
      <c r="K103" s="3" t="s">
        <v>281</v>
      </c>
      <c r="L103" s="3"/>
    </row>
    <row r="104" customFormat="false" ht="15" hidden="false" customHeight="true" outlineLevel="0" collapsed="false">
      <c r="A104" s="3" t="s">
        <v>282</v>
      </c>
      <c r="B104" s="3" t="s">
        <v>208</v>
      </c>
      <c r="C104" s="3" t="s">
        <v>209</v>
      </c>
      <c r="D104" s="3" t="s">
        <v>115</v>
      </c>
      <c r="E104" s="3" t="s">
        <v>16</v>
      </c>
      <c r="F104" s="6" t="s">
        <v>101</v>
      </c>
      <c r="G104" s="3" t="s">
        <v>29</v>
      </c>
      <c r="H104" s="3"/>
      <c r="I104" s="3" t="s">
        <v>30</v>
      </c>
      <c r="J104" s="3"/>
      <c r="K104" s="3" t="s">
        <v>283</v>
      </c>
      <c r="L104" s="3"/>
    </row>
    <row r="105" customFormat="false" ht="21.75" hidden="false" customHeight="true" outlineLevel="0" collapsed="false">
      <c r="A105" s="3" t="s">
        <v>284</v>
      </c>
      <c r="B105" s="3" t="s">
        <v>285</v>
      </c>
      <c r="C105" s="3" t="s">
        <v>286</v>
      </c>
      <c r="D105" s="3" t="s">
        <v>15</v>
      </c>
      <c r="E105" s="3" t="s">
        <v>16</v>
      </c>
      <c r="F105" s="4" t="s">
        <v>17</v>
      </c>
      <c r="G105" s="3" t="s">
        <v>29</v>
      </c>
      <c r="H105" s="3"/>
      <c r="I105" s="3" t="s">
        <v>30</v>
      </c>
      <c r="J105" s="3"/>
      <c r="K105" s="3" t="s">
        <v>287</v>
      </c>
      <c r="L105" s="3"/>
    </row>
    <row r="106" customFormat="false" ht="15" hidden="false" customHeight="true" outlineLevel="0" collapsed="false">
      <c r="A106" s="3" t="s">
        <v>288</v>
      </c>
      <c r="B106" s="3" t="s">
        <v>285</v>
      </c>
      <c r="C106" s="3" t="s">
        <v>286</v>
      </c>
      <c r="D106" s="3" t="s">
        <v>21</v>
      </c>
      <c r="E106" s="3" t="s">
        <v>16</v>
      </c>
      <c r="F106" s="4" t="s">
        <v>17</v>
      </c>
      <c r="G106" s="3" t="s">
        <v>29</v>
      </c>
      <c r="H106" s="3"/>
      <c r="I106" s="3" t="s">
        <v>30</v>
      </c>
      <c r="J106" s="3"/>
      <c r="K106" s="3" t="s">
        <v>289</v>
      </c>
      <c r="L106" s="3"/>
    </row>
    <row r="107" customFormat="false" ht="15" hidden="false" customHeight="true" outlineLevel="0" collapsed="false">
      <c r="A107" s="3" t="s">
        <v>290</v>
      </c>
      <c r="B107" s="3" t="s">
        <v>285</v>
      </c>
      <c r="C107" s="3" t="s">
        <v>286</v>
      </c>
      <c r="D107" s="3" t="s">
        <v>25</v>
      </c>
      <c r="E107" s="3" t="s">
        <v>16</v>
      </c>
      <c r="F107" s="4" t="s">
        <v>17</v>
      </c>
      <c r="G107" s="3" t="s">
        <v>29</v>
      </c>
      <c r="H107" s="3"/>
      <c r="I107" s="3" t="s">
        <v>30</v>
      </c>
      <c r="J107" s="3"/>
      <c r="K107" s="3" t="s">
        <v>291</v>
      </c>
      <c r="L107" s="3"/>
    </row>
    <row r="108" customFormat="false" ht="15" hidden="false" customHeight="true" outlineLevel="0" collapsed="false">
      <c r="A108" s="3" t="s">
        <v>292</v>
      </c>
      <c r="B108" s="3" t="s">
        <v>285</v>
      </c>
      <c r="C108" s="3" t="s">
        <v>286</v>
      </c>
      <c r="D108" s="3" t="s">
        <v>28</v>
      </c>
      <c r="E108" s="3" t="s">
        <v>16</v>
      </c>
      <c r="F108" s="4" t="s">
        <v>17</v>
      </c>
      <c r="G108" s="3" t="s">
        <v>29</v>
      </c>
      <c r="H108" s="3"/>
      <c r="I108" s="3" t="s">
        <v>30</v>
      </c>
      <c r="J108" s="3"/>
      <c r="K108" s="3" t="s">
        <v>293</v>
      </c>
      <c r="L108" s="3"/>
    </row>
    <row r="109" customFormat="false" ht="21.75" hidden="false" customHeight="true" outlineLevel="0" collapsed="false">
      <c r="A109" s="3" t="s">
        <v>294</v>
      </c>
      <c r="B109" s="3" t="s">
        <v>285</v>
      </c>
      <c r="C109" s="3" t="s">
        <v>286</v>
      </c>
      <c r="D109" s="3" t="s">
        <v>33</v>
      </c>
      <c r="E109" s="3" t="s">
        <v>16</v>
      </c>
      <c r="F109" s="4" t="s">
        <v>17</v>
      </c>
      <c r="G109" s="3" t="s">
        <v>29</v>
      </c>
      <c r="H109" s="3"/>
      <c r="I109" s="3" t="s">
        <v>30</v>
      </c>
      <c r="J109" s="3"/>
      <c r="K109" s="3" t="s">
        <v>72</v>
      </c>
      <c r="L109" s="7" t="s">
        <v>295</v>
      </c>
    </row>
    <row r="110" customFormat="false" ht="15" hidden="false" customHeight="true" outlineLevel="0" collapsed="false">
      <c r="A110" s="3" t="s">
        <v>296</v>
      </c>
      <c r="B110" s="3" t="s">
        <v>285</v>
      </c>
      <c r="C110" s="3" t="s">
        <v>286</v>
      </c>
      <c r="D110" s="3" t="s">
        <v>36</v>
      </c>
      <c r="E110" s="3" t="s">
        <v>16</v>
      </c>
      <c r="F110" s="4" t="s">
        <v>17</v>
      </c>
      <c r="G110" s="3" t="s">
        <v>29</v>
      </c>
      <c r="H110" s="3"/>
      <c r="I110" s="3" t="s">
        <v>30</v>
      </c>
      <c r="J110" s="3"/>
      <c r="K110" s="3" t="s">
        <v>297</v>
      </c>
      <c r="L110" s="3"/>
    </row>
    <row r="111" customFormat="false" ht="15" hidden="false" customHeight="true" outlineLevel="0" collapsed="false">
      <c r="A111" s="3" t="s">
        <v>298</v>
      </c>
      <c r="B111" s="3" t="s">
        <v>285</v>
      </c>
      <c r="C111" s="3" t="s">
        <v>286</v>
      </c>
      <c r="D111" s="3" t="s">
        <v>39</v>
      </c>
      <c r="E111" s="3" t="s">
        <v>16</v>
      </c>
      <c r="F111" s="4" t="s">
        <v>17</v>
      </c>
      <c r="G111" s="3" t="s">
        <v>29</v>
      </c>
      <c r="H111" s="3"/>
      <c r="I111" s="3" t="s">
        <v>30</v>
      </c>
      <c r="J111" s="3"/>
      <c r="K111" s="3" t="s">
        <v>299</v>
      </c>
      <c r="L111" s="3"/>
    </row>
    <row r="112" customFormat="false" ht="15" hidden="false" customHeight="true" outlineLevel="0" collapsed="false">
      <c r="A112" s="3" t="s">
        <v>300</v>
      </c>
      <c r="B112" s="3" t="s">
        <v>285</v>
      </c>
      <c r="C112" s="3" t="s">
        <v>286</v>
      </c>
      <c r="D112" s="3" t="s">
        <v>42</v>
      </c>
      <c r="E112" s="3" t="s">
        <v>16</v>
      </c>
      <c r="F112" s="4" t="s">
        <v>17</v>
      </c>
      <c r="G112" s="3" t="s">
        <v>29</v>
      </c>
      <c r="H112" s="8" t="s">
        <v>301</v>
      </c>
      <c r="I112" s="3" t="s">
        <v>30</v>
      </c>
      <c r="J112" s="3"/>
      <c r="K112" s="3" t="s">
        <v>302</v>
      </c>
      <c r="L112" s="3"/>
    </row>
    <row r="113" customFormat="false" ht="15" hidden="false" customHeight="true" outlineLevel="0" collapsed="false">
      <c r="A113" s="3" t="s">
        <v>303</v>
      </c>
      <c r="B113" s="3" t="s">
        <v>285</v>
      </c>
      <c r="C113" s="3" t="s">
        <v>286</v>
      </c>
      <c r="D113" s="3" t="s">
        <v>46</v>
      </c>
      <c r="E113" s="3" t="s">
        <v>16</v>
      </c>
      <c r="F113" s="4" t="s">
        <v>17</v>
      </c>
      <c r="G113" s="3" t="s">
        <v>29</v>
      </c>
      <c r="H113" s="3"/>
      <c r="I113" s="3" t="s">
        <v>30</v>
      </c>
      <c r="J113" s="3"/>
      <c r="K113" s="3" t="s">
        <v>304</v>
      </c>
      <c r="L113" s="3"/>
    </row>
    <row r="114" customFormat="false" ht="15" hidden="false" customHeight="true" outlineLevel="0" collapsed="false">
      <c r="A114" s="3" t="s">
        <v>305</v>
      </c>
      <c r="B114" s="3" t="s">
        <v>285</v>
      </c>
      <c r="C114" s="3" t="s">
        <v>286</v>
      </c>
      <c r="D114" s="3" t="s">
        <v>49</v>
      </c>
      <c r="E114" s="3" t="s">
        <v>16</v>
      </c>
      <c r="F114" s="4" t="s">
        <v>17</v>
      </c>
      <c r="G114" s="3" t="s">
        <v>29</v>
      </c>
      <c r="H114" s="3"/>
      <c r="I114" s="3" t="s">
        <v>30</v>
      </c>
      <c r="J114" s="3"/>
      <c r="K114" s="3" t="s">
        <v>306</v>
      </c>
      <c r="L114" s="3"/>
    </row>
    <row r="115" customFormat="false" ht="15" hidden="false" customHeight="true" outlineLevel="0" collapsed="false">
      <c r="A115" s="3" t="s">
        <v>307</v>
      </c>
      <c r="B115" s="3" t="s">
        <v>285</v>
      </c>
      <c r="C115" s="3" t="s">
        <v>286</v>
      </c>
      <c r="D115" s="3" t="s">
        <v>52</v>
      </c>
      <c r="E115" s="3" t="s">
        <v>16</v>
      </c>
      <c r="F115" s="4" t="s">
        <v>17</v>
      </c>
      <c r="G115" s="3" t="s">
        <v>29</v>
      </c>
      <c r="H115" s="3"/>
      <c r="I115" s="3" t="s">
        <v>30</v>
      </c>
      <c r="J115" s="3"/>
      <c r="K115" s="3" t="s">
        <v>308</v>
      </c>
      <c r="L115" s="3"/>
    </row>
    <row r="116" customFormat="false" ht="21.75" hidden="false" customHeight="true" outlineLevel="0" collapsed="false">
      <c r="A116" s="3" t="s">
        <v>309</v>
      </c>
      <c r="B116" s="3" t="s">
        <v>285</v>
      </c>
      <c r="C116" s="3" t="s">
        <v>286</v>
      </c>
      <c r="D116" s="3" t="s">
        <v>55</v>
      </c>
      <c r="E116" s="3" t="s">
        <v>16</v>
      </c>
      <c r="F116" s="4" t="s">
        <v>17</v>
      </c>
      <c r="G116" s="3" t="s">
        <v>29</v>
      </c>
      <c r="H116" s="3"/>
      <c r="I116" s="3" t="s">
        <v>30</v>
      </c>
      <c r="J116" s="3"/>
      <c r="K116" s="3" t="s">
        <v>310</v>
      </c>
      <c r="L116" s="7" t="s">
        <v>311</v>
      </c>
    </row>
    <row r="117" customFormat="false" ht="15" hidden="false" customHeight="true" outlineLevel="0" collapsed="false">
      <c r="A117" s="3" t="s">
        <v>312</v>
      </c>
      <c r="B117" s="3" t="s">
        <v>285</v>
      </c>
      <c r="C117" s="3" t="s">
        <v>286</v>
      </c>
      <c r="D117" s="3" t="s">
        <v>74</v>
      </c>
      <c r="E117" s="3" t="s">
        <v>75</v>
      </c>
      <c r="F117" s="4" t="s">
        <v>17</v>
      </c>
      <c r="G117" s="3" t="s">
        <v>29</v>
      </c>
      <c r="H117" s="3"/>
      <c r="I117" s="3" t="s">
        <v>30</v>
      </c>
      <c r="J117" s="3"/>
      <c r="K117" s="3" t="s">
        <v>313</v>
      </c>
      <c r="L117" s="3"/>
    </row>
    <row r="118" customFormat="false" ht="15" hidden="false" customHeight="true" outlineLevel="0" collapsed="false">
      <c r="A118" s="3" t="s">
        <v>314</v>
      </c>
      <c r="B118" s="3" t="s">
        <v>285</v>
      </c>
      <c r="C118" s="3" t="s">
        <v>286</v>
      </c>
      <c r="D118" s="3" t="s">
        <v>81</v>
      </c>
      <c r="E118" s="3" t="s">
        <v>75</v>
      </c>
      <c r="F118" s="4" t="s">
        <v>17</v>
      </c>
      <c r="G118" s="3" t="s">
        <v>29</v>
      </c>
      <c r="H118" s="3"/>
      <c r="I118" s="3" t="s">
        <v>30</v>
      </c>
      <c r="J118" s="3"/>
      <c r="K118" s="3" t="s">
        <v>315</v>
      </c>
      <c r="L118" s="3"/>
    </row>
    <row r="119" customFormat="false" ht="15" hidden="false" customHeight="true" outlineLevel="0" collapsed="false">
      <c r="A119" s="3" t="s">
        <v>316</v>
      </c>
      <c r="B119" s="3" t="s">
        <v>285</v>
      </c>
      <c r="C119" s="3" t="s">
        <v>286</v>
      </c>
      <c r="D119" s="3" t="s">
        <v>84</v>
      </c>
      <c r="E119" s="3" t="s">
        <v>75</v>
      </c>
      <c r="F119" s="4" t="s">
        <v>17</v>
      </c>
      <c r="G119" s="3" t="s">
        <v>29</v>
      </c>
      <c r="H119" s="8" t="s">
        <v>301</v>
      </c>
      <c r="I119" s="3" t="s">
        <v>30</v>
      </c>
      <c r="J119" s="3"/>
      <c r="K119" s="3" t="s">
        <v>317</v>
      </c>
      <c r="L119" s="7" t="s">
        <v>295</v>
      </c>
    </row>
    <row r="120" customFormat="false" ht="15" hidden="false" customHeight="true" outlineLevel="0" collapsed="false">
      <c r="A120" s="3" t="s">
        <v>318</v>
      </c>
      <c r="B120" s="3" t="s">
        <v>285</v>
      </c>
      <c r="C120" s="3" t="s">
        <v>286</v>
      </c>
      <c r="D120" s="3" t="s">
        <v>87</v>
      </c>
      <c r="E120" s="3" t="s">
        <v>75</v>
      </c>
      <c r="F120" s="4" t="s">
        <v>17</v>
      </c>
      <c r="G120" s="3" t="s">
        <v>29</v>
      </c>
      <c r="H120" s="3"/>
      <c r="I120" s="3" t="s">
        <v>30</v>
      </c>
      <c r="J120" s="3"/>
      <c r="K120" s="3" t="s">
        <v>319</v>
      </c>
      <c r="L120" s="3"/>
    </row>
    <row r="121" customFormat="false" ht="15" hidden="false" customHeight="true" outlineLevel="0" collapsed="false">
      <c r="A121" s="3" t="s">
        <v>320</v>
      </c>
      <c r="B121" s="3" t="s">
        <v>285</v>
      </c>
      <c r="C121" s="3" t="s">
        <v>286</v>
      </c>
      <c r="D121" s="3" t="s">
        <v>90</v>
      </c>
      <c r="E121" s="3" t="s">
        <v>75</v>
      </c>
      <c r="F121" s="4" t="s">
        <v>17</v>
      </c>
      <c r="G121" s="3" t="s">
        <v>29</v>
      </c>
      <c r="H121" s="3"/>
      <c r="I121" s="3" t="s">
        <v>30</v>
      </c>
      <c r="J121" s="3"/>
      <c r="K121" s="3" t="s">
        <v>170</v>
      </c>
      <c r="L121" s="3"/>
    </row>
    <row r="122" customFormat="false" ht="15" hidden="false" customHeight="true" outlineLevel="0" collapsed="false">
      <c r="A122" s="3" t="s">
        <v>321</v>
      </c>
      <c r="B122" s="3" t="s">
        <v>285</v>
      </c>
      <c r="C122" s="3" t="s">
        <v>286</v>
      </c>
      <c r="D122" s="3" t="s">
        <v>94</v>
      </c>
      <c r="E122" s="3" t="s">
        <v>75</v>
      </c>
      <c r="F122" s="4" t="s">
        <v>17</v>
      </c>
      <c r="G122" s="3" t="s">
        <v>29</v>
      </c>
      <c r="H122" s="3"/>
      <c r="I122" s="3" t="s">
        <v>30</v>
      </c>
      <c r="J122" s="3"/>
      <c r="K122" s="3" t="s">
        <v>270</v>
      </c>
      <c r="L122" s="3"/>
    </row>
    <row r="123" customFormat="false" ht="15" hidden="false" customHeight="true" outlineLevel="0" collapsed="false">
      <c r="A123" s="3" t="s">
        <v>322</v>
      </c>
      <c r="B123" s="3" t="s">
        <v>285</v>
      </c>
      <c r="C123" s="3" t="s">
        <v>286</v>
      </c>
      <c r="D123" s="3" t="s">
        <v>97</v>
      </c>
      <c r="E123" s="3" t="s">
        <v>75</v>
      </c>
      <c r="F123" s="4" t="s">
        <v>17</v>
      </c>
      <c r="G123" s="3" t="s">
        <v>29</v>
      </c>
      <c r="H123" s="3"/>
      <c r="I123" s="3" t="s">
        <v>30</v>
      </c>
      <c r="J123" s="3"/>
      <c r="K123" s="3" t="s">
        <v>323</v>
      </c>
      <c r="L123" s="7" t="s">
        <v>295</v>
      </c>
    </row>
    <row r="124" customFormat="false" ht="15" hidden="false" customHeight="true" outlineLevel="0" collapsed="false">
      <c r="A124" s="3" t="s">
        <v>324</v>
      </c>
      <c r="B124" s="3" t="s">
        <v>285</v>
      </c>
      <c r="C124" s="3" t="s">
        <v>286</v>
      </c>
      <c r="D124" s="3" t="s">
        <v>100</v>
      </c>
      <c r="E124" s="3" t="s">
        <v>16</v>
      </c>
      <c r="F124" s="6" t="s">
        <v>101</v>
      </c>
      <c r="G124" s="3" t="s">
        <v>29</v>
      </c>
      <c r="H124" s="3"/>
      <c r="I124" s="3" t="s">
        <v>30</v>
      </c>
      <c r="J124" s="3"/>
      <c r="K124" s="3" t="s">
        <v>102</v>
      </c>
      <c r="L124" s="3"/>
    </row>
    <row r="125" customFormat="false" ht="15" hidden="false" customHeight="true" outlineLevel="0" collapsed="false">
      <c r="A125" s="3" t="s">
        <v>325</v>
      </c>
      <c r="B125" s="3" t="s">
        <v>285</v>
      </c>
      <c r="C125" s="3" t="s">
        <v>286</v>
      </c>
      <c r="D125" s="3" t="s">
        <v>104</v>
      </c>
      <c r="E125" s="3" t="s">
        <v>16</v>
      </c>
      <c r="F125" s="6" t="s">
        <v>101</v>
      </c>
      <c r="G125" s="3" t="s">
        <v>29</v>
      </c>
      <c r="H125" s="3"/>
      <c r="I125" s="3" t="s">
        <v>30</v>
      </c>
      <c r="J125" s="3"/>
      <c r="K125" s="3" t="s">
        <v>326</v>
      </c>
      <c r="L125" s="3"/>
    </row>
    <row r="126" customFormat="false" ht="15" hidden="false" customHeight="true" outlineLevel="0" collapsed="false">
      <c r="A126" s="3" t="s">
        <v>327</v>
      </c>
      <c r="B126" s="3" t="s">
        <v>285</v>
      </c>
      <c r="C126" s="3" t="s">
        <v>286</v>
      </c>
      <c r="D126" s="3" t="s">
        <v>107</v>
      </c>
      <c r="E126" s="3" t="s">
        <v>16</v>
      </c>
      <c r="F126" s="6" t="s">
        <v>101</v>
      </c>
      <c r="G126" s="3" t="s">
        <v>29</v>
      </c>
      <c r="H126" s="3"/>
      <c r="I126" s="3" t="s">
        <v>30</v>
      </c>
      <c r="J126" s="3"/>
      <c r="K126" s="3" t="s">
        <v>328</v>
      </c>
      <c r="L126" s="3"/>
    </row>
    <row r="127" customFormat="false" ht="15" hidden="false" customHeight="true" outlineLevel="0" collapsed="false">
      <c r="A127" s="3" t="s">
        <v>329</v>
      </c>
      <c r="B127" s="3" t="s">
        <v>285</v>
      </c>
      <c r="C127" s="3" t="s">
        <v>286</v>
      </c>
      <c r="D127" s="3" t="s">
        <v>112</v>
      </c>
      <c r="E127" s="3" t="s">
        <v>16</v>
      </c>
      <c r="F127" s="6" t="s">
        <v>101</v>
      </c>
      <c r="G127" s="3" t="s">
        <v>29</v>
      </c>
      <c r="H127" s="3"/>
      <c r="I127" s="3" t="s">
        <v>30</v>
      </c>
      <c r="J127" s="3"/>
      <c r="K127" s="3" t="s">
        <v>200</v>
      </c>
      <c r="L127" s="3"/>
    </row>
    <row r="128" customFormat="false" ht="15" hidden="false" customHeight="true" outlineLevel="0" collapsed="false">
      <c r="A128" s="3" t="s">
        <v>330</v>
      </c>
      <c r="B128" s="3" t="s">
        <v>285</v>
      </c>
      <c r="C128" s="3" t="s">
        <v>286</v>
      </c>
      <c r="D128" s="3" t="s">
        <v>115</v>
      </c>
      <c r="E128" s="3" t="s">
        <v>16</v>
      </c>
      <c r="F128" s="6" t="s">
        <v>101</v>
      </c>
      <c r="G128" s="3" t="s">
        <v>29</v>
      </c>
      <c r="H128" s="3"/>
      <c r="I128" s="3" t="s">
        <v>30</v>
      </c>
      <c r="J128" s="3"/>
      <c r="K128" s="3" t="s">
        <v>331</v>
      </c>
      <c r="L128" s="3"/>
    </row>
    <row r="129" customFormat="false" ht="15" hidden="false" customHeight="true" outlineLevel="0" collapsed="false">
      <c r="A129" s="3" t="s">
        <v>332</v>
      </c>
      <c r="B129" s="3" t="s">
        <v>285</v>
      </c>
      <c r="C129" s="3" t="s">
        <v>286</v>
      </c>
      <c r="D129" s="3" t="s">
        <v>186</v>
      </c>
      <c r="E129" s="3" t="s">
        <v>16</v>
      </c>
      <c r="F129" s="6" t="s">
        <v>101</v>
      </c>
      <c r="G129" s="3" t="s">
        <v>29</v>
      </c>
      <c r="H129" s="3"/>
      <c r="I129" s="3" t="s">
        <v>30</v>
      </c>
      <c r="J129" s="3"/>
      <c r="K129" s="3" t="s">
        <v>272</v>
      </c>
      <c r="L129" s="3"/>
    </row>
    <row r="130" customFormat="false" ht="15" hidden="false" customHeight="true" outlineLevel="0" collapsed="false">
      <c r="A130" s="3" t="s">
        <v>333</v>
      </c>
      <c r="B130" s="3" t="s">
        <v>285</v>
      </c>
      <c r="C130" s="3" t="s">
        <v>286</v>
      </c>
      <c r="D130" s="3" t="s">
        <v>189</v>
      </c>
      <c r="E130" s="3" t="s">
        <v>16</v>
      </c>
      <c r="F130" s="6" t="s">
        <v>101</v>
      </c>
      <c r="G130" s="3" t="s">
        <v>29</v>
      </c>
      <c r="H130" s="8" t="s">
        <v>301</v>
      </c>
      <c r="I130" s="3" t="s">
        <v>30</v>
      </c>
      <c r="J130" s="3"/>
      <c r="K130" s="3" t="s">
        <v>334</v>
      </c>
      <c r="L130" s="3"/>
    </row>
    <row r="131" customFormat="false" ht="15" hidden="false" customHeight="true" outlineLevel="0" collapsed="false">
      <c r="A131" s="3" t="s">
        <v>335</v>
      </c>
      <c r="B131" s="3" t="s">
        <v>285</v>
      </c>
      <c r="C131" s="3" t="s">
        <v>286</v>
      </c>
      <c r="D131" s="3" t="s">
        <v>191</v>
      </c>
      <c r="E131" s="3" t="s">
        <v>16</v>
      </c>
      <c r="F131" s="6" t="s">
        <v>101</v>
      </c>
      <c r="G131" s="3" t="s">
        <v>29</v>
      </c>
      <c r="H131" s="8" t="s">
        <v>301</v>
      </c>
      <c r="I131" s="3" t="s">
        <v>30</v>
      </c>
      <c r="J131" s="3"/>
      <c r="K131" s="3" t="s">
        <v>336</v>
      </c>
      <c r="L131" s="3"/>
    </row>
    <row r="132" customFormat="false" ht="15" hidden="false" customHeight="true" outlineLevel="0" collapsed="false">
      <c r="A132" s="3" t="s">
        <v>337</v>
      </c>
      <c r="B132" s="3" t="s">
        <v>285</v>
      </c>
      <c r="C132" s="3" t="s">
        <v>286</v>
      </c>
      <c r="D132" s="3" t="s">
        <v>193</v>
      </c>
      <c r="E132" s="3" t="s">
        <v>16</v>
      </c>
      <c r="F132" s="6" t="s">
        <v>101</v>
      </c>
      <c r="G132" s="3" t="s">
        <v>29</v>
      </c>
      <c r="H132" s="8" t="s">
        <v>301</v>
      </c>
      <c r="I132" s="3" t="s">
        <v>30</v>
      </c>
      <c r="J132" s="3"/>
      <c r="K132" s="3" t="s">
        <v>338</v>
      </c>
      <c r="L132" s="3"/>
    </row>
    <row r="133" customFormat="false" ht="15" hidden="false" customHeight="true" outlineLevel="0" collapsed="false">
      <c r="A133" s="3" t="s">
        <v>339</v>
      </c>
      <c r="B133" s="3" t="s">
        <v>285</v>
      </c>
      <c r="C133" s="3" t="s">
        <v>286</v>
      </c>
      <c r="D133" s="3" t="s">
        <v>196</v>
      </c>
      <c r="E133" s="3" t="s">
        <v>16</v>
      </c>
      <c r="F133" s="6" t="s">
        <v>101</v>
      </c>
      <c r="G133" s="3" t="s">
        <v>29</v>
      </c>
      <c r="H133" s="3"/>
      <c r="I133" s="3" t="s">
        <v>30</v>
      </c>
      <c r="J133" s="3"/>
      <c r="K133" s="3" t="s">
        <v>340</v>
      </c>
      <c r="L133" s="3"/>
    </row>
    <row r="134" customFormat="false" ht="21.75" hidden="false" customHeight="true" outlineLevel="0" collapsed="false">
      <c r="A134" s="3" t="s">
        <v>341</v>
      </c>
      <c r="B134" s="3" t="s">
        <v>342</v>
      </c>
      <c r="C134" s="3" t="s">
        <v>343</v>
      </c>
      <c r="D134" s="3" t="s">
        <v>15</v>
      </c>
      <c r="E134" s="3" t="s">
        <v>16</v>
      </c>
      <c r="F134" s="4" t="s">
        <v>17</v>
      </c>
      <c r="G134" s="3" t="s">
        <v>29</v>
      </c>
      <c r="H134" s="3"/>
      <c r="I134" s="3" t="s">
        <v>30</v>
      </c>
      <c r="J134" s="3"/>
      <c r="K134" s="3" t="s">
        <v>344</v>
      </c>
      <c r="L134" s="3"/>
    </row>
    <row r="135" customFormat="false" ht="15" hidden="false" customHeight="true" outlineLevel="0" collapsed="false">
      <c r="A135" s="3" t="s">
        <v>345</v>
      </c>
      <c r="B135" s="3" t="s">
        <v>342</v>
      </c>
      <c r="C135" s="3" t="s">
        <v>343</v>
      </c>
      <c r="D135" s="3" t="s">
        <v>21</v>
      </c>
      <c r="E135" s="3" t="s">
        <v>16</v>
      </c>
      <c r="F135" s="4" t="s">
        <v>17</v>
      </c>
      <c r="G135" s="3" t="s">
        <v>29</v>
      </c>
      <c r="H135" s="3"/>
      <c r="I135" s="3" t="s">
        <v>30</v>
      </c>
      <c r="J135" s="3"/>
      <c r="K135" s="3" t="s">
        <v>346</v>
      </c>
      <c r="L135" s="3"/>
    </row>
    <row r="136" customFormat="false" ht="15" hidden="false" customHeight="true" outlineLevel="0" collapsed="false">
      <c r="A136" s="3" t="s">
        <v>347</v>
      </c>
      <c r="B136" s="3" t="s">
        <v>342</v>
      </c>
      <c r="C136" s="3" t="s">
        <v>343</v>
      </c>
      <c r="D136" s="3" t="s">
        <v>348</v>
      </c>
      <c r="E136" s="3" t="s">
        <v>75</v>
      </c>
      <c r="F136" s="4" t="s">
        <v>17</v>
      </c>
      <c r="G136" s="3" t="s">
        <v>29</v>
      </c>
      <c r="H136" s="3"/>
      <c r="I136" s="3" t="s">
        <v>30</v>
      </c>
      <c r="J136" s="3"/>
      <c r="K136" s="3" t="s">
        <v>170</v>
      </c>
      <c r="L136" s="3"/>
    </row>
    <row r="137" customFormat="false" ht="21.75" hidden="false" customHeight="true" outlineLevel="0" collapsed="false">
      <c r="A137" s="3" t="s">
        <v>349</v>
      </c>
      <c r="B137" s="3" t="s">
        <v>342</v>
      </c>
      <c r="C137" s="3" t="s">
        <v>343</v>
      </c>
      <c r="D137" s="3" t="s">
        <v>100</v>
      </c>
      <c r="E137" s="3" t="s">
        <v>75</v>
      </c>
      <c r="F137" s="6" t="s">
        <v>101</v>
      </c>
      <c r="G137" s="3" t="s">
        <v>29</v>
      </c>
      <c r="H137" s="3"/>
      <c r="I137" s="3" t="s">
        <v>30</v>
      </c>
      <c r="J137" s="3"/>
      <c r="K137" s="3" t="s">
        <v>350</v>
      </c>
      <c r="L137" s="7" t="s">
        <v>351</v>
      </c>
    </row>
    <row r="138" customFormat="false" ht="15" hidden="false" customHeight="true" outlineLevel="0" collapsed="false">
      <c r="A138" s="3" t="s">
        <v>352</v>
      </c>
      <c r="B138" s="3" t="s">
        <v>342</v>
      </c>
      <c r="C138" s="3" t="s">
        <v>343</v>
      </c>
      <c r="D138" s="3" t="s">
        <v>104</v>
      </c>
      <c r="E138" s="3" t="s">
        <v>75</v>
      </c>
      <c r="F138" s="6" t="s">
        <v>101</v>
      </c>
      <c r="G138" s="3" t="s">
        <v>29</v>
      </c>
      <c r="H138" s="3"/>
      <c r="I138" s="3" t="s">
        <v>30</v>
      </c>
      <c r="J138" s="3"/>
      <c r="K138" s="3" t="s">
        <v>353</v>
      </c>
      <c r="L138" s="3"/>
    </row>
    <row r="139" customFormat="false" ht="15" hidden="false" customHeight="true" outlineLevel="0" collapsed="false">
      <c r="A139" s="3" t="s">
        <v>354</v>
      </c>
      <c r="B139" s="3" t="s">
        <v>342</v>
      </c>
      <c r="C139" s="3" t="s">
        <v>343</v>
      </c>
      <c r="D139" s="3" t="s">
        <v>107</v>
      </c>
      <c r="E139" s="3" t="s">
        <v>75</v>
      </c>
      <c r="F139" s="6" t="s">
        <v>101</v>
      </c>
      <c r="G139" s="3" t="s">
        <v>29</v>
      </c>
      <c r="H139" s="3"/>
      <c r="I139" s="3" t="s">
        <v>30</v>
      </c>
      <c r="J139" s="3"/>
      <c r="K139" s="3" t="s">
        <v>272</v>
      </c>
      <c r="L139" s="3"/>
    </row>
    <row r="140" customFormat="false" ht="32.25" hidden="false" customHeight="true" outlineLevel="0" collapsed="false">
      <c r="A140" s="3" t="s">
        <v>355</v>
      </c>
      <c r="B140" s="3" t="s">
        <v>356</v>
      </c>
      <c r="C140" s="3" t="s">
        <v>343</v>
      </c>
      <c r="D140" s="3" t="s">
        <v>357</v>
      </c>
      <c r="E140" s="3" t="s">
        <v>16</v>
      </c>
      <c r="F140" s="4" t="s">
        <v>17</v>
      </c>
      <c r="G140" s="3" t="s">
        <v>29</v>
      </c>
      <c r="H140" s="3"/>
      <c r="I140" s="3" t="s">
        <v>30</v>
      </c>
      <c r="J140" s="3"/>
      <c r="K140" s="3" t="s">
        <v>358</v>
      </c>
      <c r="L140" s="3"/>
    </row>
    <row r="141" customFormat="false" ht="15" hidden="false" customHeight="true" outlineLevel="0" collapsed="false">
      <c r="A141" s="3" t="s">
        <v>359</v>
      </c>
      <c r="B141" s="3" t="s">
        <v>356</v>
      </c>
      <c r="C141" s="3" t="s">
        <v>343</v>
      </c>
      <c r="D141" s="3" t="s">
        <v>360</v>
      </c>
      <c r="E141" s="3" t="s">
        <v>16</v>
      </c>
      <c r="F141" s="4" t="s">
        <v>17</v>
      </c>
      <c r="G141" s="3" t="s">
        <v>29</v>
      </c>
      <c r="H141" s="3"/>
      <c r="I141" s="3" t="s">
        <v>30</v>
      </c>
      <c r="J141" s="3"/>
      <c r="K141" s="3" t="s">
        <v>361</v>
      </c>
      <c r="L141" s="3"/>
    </row>
    <row r="142" customFormat="false" ht="15" hidden="false" customHeight="true" outlineLevel="0" collapsed="false">
      <c r="A142" s="3" t="s">
        <v>362</v>
      </c>
      <c r="B142" s="3" t="s">
        <v>356</v>
      </c>
      <c r="C142" s="3" t="s">
        <v>343</v>
      </c>
      <c r="D142" s="3" t="s">
        <v>363</v>
      </c>
      <c r="E142" s="3" t="s">
        <v>16</v>
      </c>
      <c r="F142" s="4" t="s">
        <v>17</v>
      </c>
      <c r="G142" s="3" t="s">
        <v>29</v>
      </c>
      <c r="H142" s="3"/>
      <c r="I142" s="3" t="s">
        <v>30</v>
      </c>
      <c r="J142" s="5" t="s">
        <v>364</v>
      </c>
      <c r="K142" s="3" t="s">
        <v>365</v>
      </c>
      <c r="L142" s="3"/>
    </row>
    <row r="143" customFormat="false" ht="15" hidden="false" customHeight="true" outlineLevel="0" collapsed="false">
      <c r="A143" s="3" t="s">
        <v>366</v>
      </c>
      <c r="B143" s="3" t="s">
        <v>356</v>
      </c>
      <c r="C143" s="3" t="s">
        <v>343</v>
      </c>
      <c r="D143" s="3" t="s">
        <v>367</v>
      </c>
      <c r="E143" s="3" t="s">
        <v>16</v>
      </c>
      <c r="F143" s="4" t="s">
        <v>17</v>
      </c>
      <c r="G143" s="3" t="s">
        <v>29</v>
      </c>
      <c r="H143" s="3"/>
      <c r="I143" s="3" t="s">
        <v>30</v>
      </c>
      <c r="J143" s="3"/>
      <c r="K143" s="3" t="s">
        <v>368</v>
      </c>
      <c r="L143" s="3"/>
    </row>
    <row r="144" customFormat="false" ht="21.75" hidden="false" customHeight="true" outlineLevel="0" collapsed="false">
      <c r="A144" s="3" t="s">
        <v>369</v>
      </c>
      <c r="B144" s="3" t="s">
        <v>356</v>
      </c>
      <c r="C144" s="3" t="s">
        <v>343</v>
      </c>
      <c r="D144" s="3" t="s">
        <v>370</v>
      </c>
      <c r="E144" s="3" t="s">
        <v>16</v>
      </c>
      <c r="F144" s="4" t="s">
        <v>17</v>
      </c>
      <c r="G144" s="3" t="s">
        <v>29</v>
      </c>
      <c r="H144" s="3"/>
      <c r="I144" s="3" t="s">
        <v>30</v>
      </c>
      <c r="J144" s="5" t="s">
        <v>371</v>
      </c>
      <c r="K144" s="3" t="s">
        <v>372</v>
      </c>
      <c r="L144" s="3"/>
    </row>
    <row r="145" customFormat="false" ht="15" hidden="false" customHeight="true" outlineLevel="0" collapsed="false">
      <c r="A145" s="3" t="s">
        <v>373</v>
      </c>
      <c r="B145" s="3" t="s">
        <v>356</v>
      </c>
      <c r="C145" s="3" t="s">
        <v>343</v>
      </c>
      <c r="D145" s="3" t="s">
        <v>374</v>
      </c>
      <c r="E145" s="3" t="s">
        <v>16</v>
      </c>
      <c r="F145" s="4" t="s">
        <v>17</v>
      </c>
      <c r="G145" s="3" t="s">
        <v>29</v>
      </c>
      <c r="H145" s="3"/>
      <c r="I145" s="3" t="s">
        <v>30</v>
      </c>
      <c r="J145" s="3"/>
      <c r="K145" s="3" t="s">
        <v>375</v>
      </c>
      <c r="L145" s="3"/>
    </row>
    <row r="146" customFormat="false" ht="15" hidden="false" customHeight="true" outlineLevel="0" collapsed="false">
      <c r="A146" s="3" t="s">
        <v>376</v>
      </c>
      <c r="B146" s="3" t="s">
        <v>356</v>
      </c>
      <c r="C146" s="3" t="s">
        <v>343</v>
      </c>
      <c r="D146" s="3" t="s">
        <v>377</v>
      </c>
      <c r="E146" s="3" t="s">
        <v>75</v>
      </c>
      <c r="F146" s="4" t="s">
        <v>17</v>
      </c>
      <c r="G146" s="3" t="s">
        <v>29</v>
      </c>
      <c r="H146" s="3"/>
      <c r="I146" s="3" t="s">
        <v>30</v>
      </c>
      <c r="J146" s="3"/>
      <c r="K146" s="3" t="s">
        <v>378</v>
      </c>
      <c r="L146" s="3"/>
    </row>
    <row r="147" customFormat="false" ht="15" hidden="false" customHeight="true" outlineLevel="0" collapsed="false">
      <c r="A147" s="3" t="s">
        <v>379</v>
      </c>
      <c r="B147" s="3" t="s">
        <v>356</v>
      </c>
      <c r="C147" s="3" t="s">
        <v>343</v>
      </c>
      <c r="D147" s="3" t="s">
        <v>380</v>
      </c>
      <c r="E147" s="3" t="s">
        <v>75</v>
      </c>
      <c r="F147" s="4" t="s">
        <v>17</v>
      </c>
      <c r="G147" s="3" t="s">
        <v>29</v>
      </c>
      <c r="H147" s="3"/>
      <c r="I147" s="3" t="s">
        <v>30</v>
      </c>
      <c r="J147" s="3"/>
      <c r="K147" s="3" t="s">
        <v>381</v>
      </c>
      <c r="L147" s="3"/>
    </row>
    <row r="148" customFormat="false" ht="15" hidden="false" customHeight="true" outlineLevel="0" collapsed="false">
      <c r="A148" s="3" t="s">
        <v>382</v>
      </c>
      <c r="B148" s="3" t="s">
        <v>356</v>
      </c>
      <c r="C148" s="3" t="s">
        <v>343</v>
      </c>
      <c r="D148" s="3" t="s">
        <v>383</v>
      </c>
      <c r="E148" s="3" t="s">
        <v>75</v>
      </c>
      <c r="F148" s="4" t="s">
        <v>17</v>
      </c>
      <c r="G148" s="3" t="s">
        <v>29</v>
      </c>
      <c r="H148" s="3"/>
      <c r="I148" s="3" t="s">
        <v>30</v>
      </c>
      <c r="J148" s="3"/>
      <c r="K148" s="3" t="s">
        <v>384</v>
      </c>
      <c r="L148" s="3"/>
    </row>
    <row r="149" customFormat="false" ht="15" hidden="false" customHeight="true" outlineLevel="0" collapsed="false">
      <c r="A149" s="3" t="s">
        <v>385</v>
      </c>
      <c r="B149" s="3" t="s">
        <v>356</v>
      </c>
      <c r="C149" s="3" t="s">
        <v>343</v>
      </c>
      <c r="D149" s="3" t="s">
        <v>386</v>
      </c>
      <c r="E149" s="3" t="s">
        <v>75</v>
      </c>
      <c r="F149" s="4" t="s">
        <v>17</v>
      </c>
      <c r="G149" s="3" t="s">
        <v>29</v>
      </c>
      <c r="H149" s="3"/>
      <c r="I149" s="3" t="s">
        <v>30</v>
      </c>
      <c r="J149" s="3"/>
      <c r="K149" s="3" t="s">
        <v>270</v>
      </c>
      <c r="L149" s="3"/>
    </row>
    <row r="150" customFormat="false" ht="21.75" hidden="false" customHeight="true" outlineLevel="0" collapsed="false">
      <c r="A150" s="3" t="s">
        <v>387</v>
      </c>
      <c r="B150" s="3" t="s">
        <v>356</v>
      </c>
      <c r="C150" s="3" t="s">
        <v>343</v>
      </c>
      <c r="D150" s="3" t="s">
        <v>388</v>
      </c>
      <c r="E150" s="3" t="s">
        <v>75</v>
      </c>
      <c r="F150" s="4" t="s">
        <v>17</v>
      </c>
      <c r="G150" s="3" t="s">
        <v>29</v>
      </c>
      <c r="H150" s="3"/>
      <c r="I150" s="3" t="s">
        <v>30</v>
      </c>
      <c r="J150" s="3"/>
      <c r="K150" s="3" t="s">
        <v>389</v>
      </c>
      <c r="L150" s="3"/>
    </row>
    <row r="151" customFormat="false" ht="15" hidden="false" customHeight="true" outlineLevel="0" collapsed="false">
      <c r="A151" s="3" t="s">
        <v>390</v>
      </c>
      <c r="B151" s="3" t="s">
        <v>356</v>
      </c>
      <c r="C151" s="3" t="s">
        <v>343</v>
      </c>
      <c r="D151" s="3" t="s">
        <v>391</v>
      </c>
      <c r="E151" s="3" t="s">
        <v>16</v>
      </c>
      <c r="F151" s="6" t="s">
        <v>101</v>
      </c>
      <c r="G151" s="3" t="s">
        <v>29</v>
      </c>
      <c r="H151" s="3"/>
      <c r="I151" s="3" t="s">
        <v>30</v>
      </c>
      <c r="J151" s="3"/>
      <c r="K151" s="3" t="s">
        <v>392</v>
      </c>
      <c r="L151" s="3"/>
    </row>
    <row r="152" customFormat="false" ht="15" hidden="false" customHeight="true" outlineLevel="0" collapsed="false">
      <c r="A152" s="3" t="s">
        <v>393</v>
      </c>
      <c r="B152" s="3" t="s">
        <v>356</v>
      </c>
      <c r="C152" s="3" t="s">
        <v>343</v>
      </c>
      <c r="D152" s="3" t="s">
        <v>394</v>
      </c>
      <c r="E152" s="3" t="s">
        <v>16</v>
      </c>
      <c r="F152" s="6" t="s">
        <v>101</v>
      </c>
      <c r="G152" s="3" t="s">
        <v>29</v>
      </c>
      <c r="H152" s="3"/>
      <c r="I152" s="3" t="s">
        <v>30</v>
      </c>
      <c r="J152" s="3"/>
      <c r="K152" s="3" t="s">
        <v>395</v>
      </c>
      <c r="L152" s="3"/>
    </row>
    <row r="153" customFormat="false" ht="15" hidden="false" customHeight="true" outlineLevel="0" collapsed="false">
      <c r="A153" s="3" t="s">
        <v>396</v>
      </c>
      <c r="B153" s="3" t="s">
        <v>356</v>
      </c>
      <c r="C153" s="3" t="s">
        <v>343</v>
      </c>
      <c r="D153" s="3" t="s">
        <v>397</v>
      </c>
      <c r="E153" s="3" t="s">
        <v>75</v>
      </c>
      <c r="F153" s="6" t="s">
        <v>101</v>
      </c>
      <c r="G153" s="3" t="s">
        <v>29</v>
      </c>
      <c r="H153" s="3"/>
      <c r="I153" s="3" t="s">
        <v>30</v>
      </c>
      <c r="J153" s="3"/>
      <c r="K153" s="3" t="s">
        <v>170</v>
      </c>
      <c r="L153" s="3"/>
    </row>
    <row r="154" customFormat="false" ht="15" hidden="false" customHeight="true" outlineLevel="0" collapsed="false">
      <c r="A154" s="3" t="s">
        <v>398</v>
      </c>
      <c r="B154" s="3" t="s">
        <v>356</v>
      </c>
      <c r="C154" s="3" t="s">
        <v>343</v>
      </c>
      <c r="D154" s="3" t="s">
        <v>399</v>
      </c>
      <c r="E154" s="3" t="s">
        <v>75</v>
      </c>
      <c r="F154" s="6" t="s">
        <v>101</v>
      </c>
      <c r="G154" s="3" t="s">
        <v>29</v>
      </c>
      <c r="H154" s="3"/>
      <c r="I154" s="3" t="s">
        <v>30</v>
      </c>
      <c r="J154" s="3"/>
      <c r="K154" s="3" t="s">
        <v>272</v>
      </c>
      <c r="L154" s="3"/>
    </row>
    <row r="155" customFormat="false" ht="15" hidden="false" customHeight="true" outlineLevel="0" collapsed="false">
      <c r="A155" s="3" t="s">
        <v>400</v>
      </c>
      <c r="B155" s="3" t="s">
        <v>356</v>
      </c>
      <c r="C155" s="3" t="s">
        <v>343</v>
      </c>
      <c r="D155" s="3" t="s">
        <v>401</v>
      </c>
      <c r="E155" s="3" t="s">
        <v>75</v>
      </c>
      <c r="F155" s="6" t="s">
        <v>101</v>
      </c>
      <c r="G155" s="3" t="s">
        <v>29</v>
      </c>
      <c r="H155" s="3"/>
      <c r="I155" s="3" t="s">
        <v>30</v>
      </c>
      <c r="J155" s="3"/>
      <c r="K155" s="3" t="s">
        <v>353</v>
      </c>
      <c r="L155" s="3"/>
    </row>
    <row r="156" customFormat="false" ht="15" hidden="false" customHeight="true" outlineLevel="0" collapsed="false">
      <c r="A156" s="3" t="s">
        <v>402</v>
      </c>
      <c r="B156" s="3" t="s">
        <v>356</v>
      </c>
      <c r="C156" s="3" t="s">
        <v>343</v>
      </c>
      <c r="D156" s="3" t="s">
        <v>403</v>
      </c>
      <c r="E156" s="3" t="s">
        <v>16</v>
      </c>
      <c r="F156" s="6" t="s">
        <v>101</v>
      </c>
      <c r="G156" s="3" t="s">
        <v>29</v>
      </c>
      <c r="H156" s="3"/>
      <c r="I156" s="3" t="s">
        <v>30</v>
      </c>
      <c r="J156" s="3"/>
      <c r="K156" s="3" t="s">
        <v>404</v>
      </c>
      <c r="L156" s="3"/>
    </row>
    <row r="157" customFormat="false" ht="15" hidden="false" customHeight="true" outlineLevel="0" collapsed="false">
      <c r="A157" s="3" t="s">
        <v>405</v>
      </c>
      <c r="B157" s="3" t="s">
        <v>356</v>
      </c>
      <c r="C157" s="3" t="s">
        <v>343</v>
      </c>
      <c r="D157" s="3" t="s">
        <v>406</v>
      </c>
      <c r="E157" s="3" t="s">
        <v>16</v>
      </c>
      <c r="F157" s="6" t="s">
        <v>101</v>
      </c>
      <c r="G157" s="3" t="s">
        <v>29</v>
      </c>
      <c r="H157" s="3"/>
      <c r="I157" s="3" t="s">
        <v>30</v>
      </c>
      <c r="J157" s="3"/>
      <c r="K157" s="3" t="s">
        <v>407</v>
      </c>
      <c r="L157" s="3"/>
    </row>
    <row r="158" customFormat="false" ht="15" hidden="false" customHeight="true" outlineLevel="0" collapsed="false">
      <c r="A158" s="3" t="s">
        <v>408</v>
      </c>
      <c r="B158" s="3" t="s">
        <v>409</v>
      </c>
      <c r="C158" s="3" t="s">
        <v>410</v>
      </c>
      <c r="D158" s="3" t="s">
        <v>15</v>
      </c>
      <c r="E158" s="3" t="s">
        <v>16</v>
      </c>
      <c r="F158" s="4" t="s">
        <v>17</v>
      </c>
      <c r="G158" s="3" t="s">
        <v>29</v>
      </c>
      <c r="H158" s="3"/>
      <c r="I158" s="3" t="s">
        <v>30</v>
      </c>
      <c r="J158" s="3"/>
      <c r="K158" s="3" t="s">
        <v>411</v>
      </c>
      <c r="L158" s="3"/>
    </row>
    <row r="159" customFormat="false" ht="15" hidden="false" customHeight="true" outlineLevel="0" collapsed="false">
      <c r="A159" s="3" t="s">
        <v>412</v>
      </c>
      <c r="B159" s="3" t="s">
        <v>409</v>
      </c>
      <c r="C159" s="3" t="s">
        <v>410</v>
      </c>
      <c r="D159" s="3" t="s">
        <v>21</v>
      </c>
      <c r="E159" s="3" t="s">
        <v>16</v>
      </c>
      <c r="F159" s="4" t="s">
        <v>17</v>
      </c>
      <c r="G159" s="3" t="s">
        <v>29</v>
      </c>
      <c r="H159" s="3"/>
      <c r="I159" s="3" t="s">
        <v>30</v>
      </c>
      <c r="J159" s="3"/>
      <c r="K159" s="3" t="s">
        <v>413</v>
      </c>
      <c r="L159" s="3"/>
    </row>
    <row r="160" customFormat="false" ht="15" hidden="false" customHeight="true" outlineLevel="0" collapsed="false">
      <c r="A160" s="3" t="s">
        <v>414</v>
      </c>
      <c r="B160" s="3" t="s">
        <v>409</v>
      </c>
      <c r="C160" s="3" t="s">
        <v>410</v>
      </c>
      <c r="D160" s="3" t="s">
        <v>25</v>
      </c>
      <c r="E160" s="3" t="s">
        <v>16</v>
      </c>
      <c r="F160" s="4" t="s">
        <v>17</v>
      </c>
      <c r="G160" s="3" t="s">
        <v>29</v>
      </c>
      <c r="H160" s="3"/>
      <c r="I160" s="3" t="s">
        <v>30</v>
      </c>
      <c r="J160" s="3"/>
      <c r="K160" s="3" t="s">
        <v>415</v>
      </c>
      <c r="L160" s="3"/>
    </row>
    <row r="161" customFormat="false" ht="21.75" hidden="false" customHeight="true" outlineLevel="0" collapsed="false">
      <c r="A161" s="3" t="s">
        <v>416</v>
      </c>
      <c r="B161" s="3" t="s">
        <v>409</v>
      </c>
      <c r="C161" s="3" t="s">
        <v>410</v>
      </c>
      <c r="D161" s="3" t="s">
        <v>28</v>
      </c>
      <c r="E161" s="3" t="s">
        <v>16</v>
      </c>
      <c r="F161" s="4" t="s">
        <v>17</v>
      </c>
      <c r="G161" s="3" t="s">
        <v>29</v>
      </c>
      <c r="H161" s="3"/>
      <c r="I161" s="3" t="s">
        <v>30</v>
      </c>
      <c r="J161" s="3"/>
      <c r="K161" s="3" t="s">
        <v>417</v>
      </c>
      <c r="L161" s="3"/>
    </row>
    <row r="162" customFormat="false" ht="15" hidden="false" customHeight="true" outlineLevel="0" collapsed="false">
      <c r="A162" s="3" t="s">
        <v>418</v>
      </c>
      <c r="B162" s="3" t="s">
        <v>409</v>
      </c>
      <c r="C162" s="3" t="s">
        <v>410</v>
      </c>
      <c r="D162" s="3" t="s">
        <v>33</v>
      </c>
      <c r="E162" s="3" t="s">
        <v>16</v>
      </c>
      <c r="F162" s="4" t="s">
        <v>17</v>
      </c>
      <c r="G162" s="3" t="s">
        <v>29</v>
      </c>
      <c r="H162" s="3"/>
      <c r="I162" s="3" t="s">
        <v>30</v>
      </c>
      <c r="J162" s="3"/>
      <c r="K162" s="3" t="s">
        <v>419</v>
      </c>
      <c r="L162" s="3"/>
    </row>
    <row r="163" customFormat="false" ht="15" hidden="false" customHeight="true" outlineLevel="0" collapsed="false">
      <c r="A163" s="3" t="s">
        <v>420</v>
      </c>
      <c r="B163" s="3" t="s">
        <v>409</v>
      </c>
      <c r="C163" s="3" t="s">
        <v>410</v>
      </c>
      <c r="D163" s="3" t="s">
        <v>36</v>
      </c>
      <c r="E163" s="3" t="s">
        <v>16</v>
      </c>
      <c r="F163" s="4" t="s">
        <v>17</v>
      </c>
      <c r="G163" s="3" t="s">
        <v>29</v>
      </c>
      <c r="H163" s="3"/>
      <c r="I163" s="3" t="s">
        <v>30</v>
      </c>
      <c r="J163" s="3"/>
      <c r="K163" s="3" t="s">
        <v>421</v>
      </c>
      <c r="L163" s="3"/>
    </row>
    <row r="164" customFormat="false" ht="15" hidden="false" customHeight="true" outlineLevel="0" collapsed="false">
      <c r="A164" s="3" t="s">
        <v>422</v>
      </c>
      <c r="B164" s="3" t="s">
        <v>409</v>
      </c>
      <c r="C164" s="3" t="s">
        <v>410</v>
      </c>
      <c r="D164" s="3" t="s">
        <v>39</v>
      </c>
      <c r="E164" s="3" t="s">
        <v>16</v>
      </c>
      <c r="F164" s="4" t="s">
        <v>17</v>
      </c>
      <c r="G164" s="3" t="s">
        <v>29</v>
      </c>
      <c r="H164" s="3"/>
      <c r="I164" s="3" t="s">
        <v>30</v>
      </c>
      <c r="J164" s="3"/>
      <c r="K164" s="3" t="s">
        <v>423</v>
      </c>
      <c r="L164" s="3"/>
    </row>
    <row r="165" customFormat="false" ht="15" hidden="false" customHeight="true" outlineLevel="0" collapsed="false">
      <c r="A165" s="3" t="s">
        <v>424</v>
      </c>
      <c r="B165" s="3" t="s">
        <v>409</v>
      </c>
      <c r="C165" s="3" t="s">
        <v>410</v>
      </c>
      <c r="D165" s="3" t="s">
        <v>42</v>
      </c>
      <c r="E165" s="3" t="s">
        <v>16</v>
      </c>
      <c r="F165" s="4" t="s">
        <v>17</v>
      </c>
      <c r="G165" s="3" t="s">
        <v>29</v>
      </c>
      <c r="H165" s="3"/>
      <c r="I165" s="3" t="s">
        <v>30</v>
      </c>
      <c r="J165" s="3"/>
      <c r="K165" s="3" t="s">
        <v>425</v>
      </c>
      <c r="L165" s="3"/>
    </row>
    <row r="166" customFormat="false" ht="15" hidden="false" customHeight="true" outlineLevel="0" collapsed="false">
      <c r="A166" s="3" t="s">
        <v>426</v>
      </c>
      <c r="B166" s="3" t="s">
        <v>409</v>
      </c>
      <c r="C166" s="3" t="s">
        <v>410</v>
      </c>
      <c r="D166" s="3" t="s">
        <v>46</v>
      </c>
      <c r="E166" s="3" t="s">
        <v>16</v>
      </c>
      <c r="F166" s="4" t="s">
        <v>17</v>
      </c>
      <c r="G166" s="3" t="s">
        <v>29</v>
      </c>
      <c r="H166" s="3"/>
      <c r="I166" s="3" t="s">
        <v>30</v>
      </c>
      <c r="J166" s="3"/>
      <c r="K166" s="3" t="s">
        <v>427</v>
      </c>
      <c r="L166" s="3"/>
    </row>
    <row r="167" customFormat="false" ht="15" hidden="false" customHeight="true" outlineLevel="0" collapsed="false">
      <c r="A167" s="3" t="s">
        <v>428</v>
      </c>
      <c r="B167" s="3" t="s">
        <v>409</v>
      </c>
      <c r="C167" s="3" t="s">
        <v>410</v>
      </c>
      <c r="D167" s="3" t="s">
        <v>49</v>
      </c>
      <c r="E167" s="3" t="s">
        <v>16</v>
      </c>
      <c r="F167" s="4" t="s">
        <v>17</v>
      </c>
      <c r="G167" s="3" t="s">
        <v>29</v>
      </c>
      <c r="H167" s="3"/>
      <c r="I167" s="3" t="s">
        <v>30</v>
      </c>
      <c r="J167" s="3"/>
      <c r="K167" s="3" t="s">
        <v>429</v>
      </c>
      <c r="L167" s="3"/>
    </row>
    <row r="168" customFormat="false" ht="15" hidden="false" customHeight="true" outlineLevel="0" collapsed="false">
      <c r="A168" s="3" t="s">
        <v>430</v>
      </c>
      <c r="B168" s="3" t="s">
        <v>409</v>
      </c>
      <c r="C168" s="3" t="s">
        <v>410</v>
      </c>
      <c r="D168" s="3" t="s">
        <v>52</v>
      </c>
      <c r="E168" s="3" t="s">
        <v>16</v>
      </c>
      <c r="F168" s="4" t="s">
        <v>17</v>
      </c>
      <c r="G168" s="3" t="s">
        <v>29</v>
      </c>
      <c r="H168" s="3"/>
      <c r="I168" s="3" t="s">
        <v>30</v>
      </c>
      <c r="J168" s="3"/>
      <c r="K168" s="3" t="s">
        <v>431</v>
      </c>
      <c r="L168" s="3"/>
    </row>
    <row r="169" customFormat="false" ht="21.75" hidden="false" customHeight="true" outlineLevel="0" collapsed="false">
      <c r="A169" s="3" t="s">
        <v>432</v>
      </c>
      <c r="B169" s="3" t="s">
        <v>409</v>
      </c>
      <c r="C169" s="3" t="s">
        <v>410</v>
      </c>
      <c r="D169" s="3" t="s">
        <v>55</v>
      </c>
      <c r="E169" s="3" t="s">
        <v>16</v>
      </c>
      <c r="F169" s="4" t="s">
        <v>17</v>
      </c>
      <c r="G169" s="3" t="s">
        <v>29</v>
      </c>
      <c r="H169" s="3"/>
      <c r="I169" s="3" t="s">
        <v>30</v>
      </c>
      <c r="J169" s="5" t="s">
        <v>433</v>
      </c>
      <c r="K169" s="3" t="s">
        <v>434</v>
      </c>
      <c r="L169" s="3"/>
    </row>
    <row r="170" customFormat="false" ht="21.75" hidden="false" customHeight="true" outlineLevel="0" collapsed="false">
      <c r="A170" s="3" t="s">
        <v>435</v>
      </c>
      <c r="B170" s="3" t="s">
        <v>409</v>
      </c>
      <c r="C170" s="3" t="s">
        <v>410</v>
      </c>
      <c r="D170" s="3" t="s">
        <v>58</v>
      </c>
      <c r="E170" s="3" t="s">
        <v>16</v>
      </c>
      <c r="F170" s="4" t="s">
        <v>17</v>
      </c>
      <c r="G170" s="3" t="s">
        <v>29</v>
      </c>
      <c r="H170" s="3"/>
      <c r="I170" s="3" t="s">
        <v>30</v>
      </c>
      <c r="J170" s="5" t="s">
        <v>436</v>
      </c>
      <c r="K170" s="3" t="s">
        <v>437</v>
      </c>
      <c r="L170" s="3"/>
    </row>
    <row r="171" customFormat="false" ht="21.75" hidden="false" customHeight="true" outlineLevel="0" collapsed="false">
      <c r="A171" s="3" t="s">
        <v>438</v>
      </c>
      <c r="B171" s="3" t="s">
        <v>409</v>
      </c>
      <c r="C171" s="3" t="s">
        <v>410</v>
      </c>
      <c r="D171" s="3" t="s">
        <v>61</v>
      </c>
      <c r="E171" s="3" t="s">
        <v>16</v>
      </c>
      <c r="F171" s="4" t="s">
        <v>17</v>
      </c>
      <c r="G171" s="3" t="s">
        <v>29</v>
      </c>
      <c r="H171" s="3"/>
      <c r="I171" s="3" t="s">
        <v>30</v>
      </c>
      <c r="J171" s="5" t="s">
        <v>436</v>
      </c>
      <c r="K171" s="3" t="s">
        <v>439</v>
      </c>
      <c r="L171" s="3"/>
    </row>
    <row r="172" customFormat="false" ht="15" hidden="false" customHeight="true" outlineLevel="0" collapsed="false">
      <c r="A172" s="3" t="s">
        <v>440</v>
      </c>
      <c r="B172" s="3" t="s">
        <v>409</v>
      </c>
      <c r="C172" s="3" t="s">
        <v>410</v>
      </c>
      <c r="D172" s="3" t="s">
        <v>74</v>
      </c>
      <c r="E172" s="3" t="s">
        <v>75</v>
      </c>
      <c r="F172" s="4" t="s">
        <v>17</v>
      </c>
      <c r="G172" s="3" t="s">
        <v>29</v>
      </c>
      <c r="H172" s="3"/>
      <c r="I172" s="3" t="s">
        <v>30</v>
      </c>
      <c r="J172" s="3"/>
      <c r="K172" s="3" t="s">
        <v>441</v>
      </c>
      <c r="L172" s="3"/>
    </row>
    <row r="173" customFormat="false" ht="15" hidden="false" customHeight="true" outlineLevel="0" collapsed="false">
      <c r="A173" s="3" t="s">
        <v>442</v>
      </c>
      <c r="B173" s="3" t="s">
        <v>409</v>
      </c>
      <c r="C173" s="3" t="s">
        <v>410</v>
      </c>
      <c r="D173" s="3" t="s">
        <v>81</v>
      </c>
      <c r="E173" s="3" t="s">
        <v>75</v>
      </c>
      <c r="F173" s="4" t="s">
        <v>17</v>
      </c>
      <c r="G173" s="3" t="s">
        <v>29</v>
      </c>
      <c r="H173" s="3"/>
      <c r="I173" s="3" t="s">
        <v>30</v>
      </c>
      <c r="J173" s="3"/>
      <c r="K173" s="3" t="s">
        <v>443</v>
      </c>
      <c r="L173" s="3"/>
    </row>
    <row r="174" customFormat="false" ht="15" hidden="false" customHeight="true" outlineLevel="0" collapsed="false">
      <c r="A174" s="3" t="s">
        <v>444</v>
      </c>
      <c r="B174" s="3" t="s">
        <v>409</v>
      </c>
      <c r="C174" s="3" t="s">
        <v>410</v>
      </c>
      <c r="D174" s="3" t="s">
        <v>100</v>
      </c>
      <c r="E174" s="3" t="s">
        <v>16</v>
      </c>
      <c r="F174" s="6" t="s">
        <v>101</v>
      </c>
      <c r="G174" s="3" t="s">
        <v>29</v>
      </c>
      <c r="H174" s="3"/>
      <c r="I174" s="3" t="s">
        <v>30</v>
      </c>
      <c r="J174" s="3"/>
      <c r="K174" s="3" t="s">
        <v>102</v>
      </c>
      <c r="L174" s="3"/>
    </row>
    <row r="175" customFormat="false" ht="15" hidden="false" customHeight="true" outlineLevel="0" collapsed="false">
      <c r="A175" s="3" t="s">
        <v>445</v>
      </c>
      <c r="B175" s="3" t="s">
        <v>409</v>
      </c>
      <c r="C175" s="3" t="s">
        <v>410</v>
      </c>
      <c r="D175" s="3" t="s">
        <v>104</v>
      </c>
      <c r="E175" s="3" t="s">
        <v>16</v>
      </c>
      <c r="F175" s="6" t="s">
        <v>101</v>
      </c>
      <c r="G175" s="3" t="s">
        <v>29</v>
      </c>
      <c r="H175" s="3"/>
      <c r="I175" s="3" t="s">
        <v>30</v>
      </c>
      <c r="J175" s="3"/>
      <c r="K175" s="3" t="s">
        <v>446</v>
      </c>
      <c r="L175" s="3"/>
    </row>
    <row r="176" customFormat="false" ht="15" hidden="false" customHeight="true" outlineLevel="0" collapsed="false">
      <c r="A176" s="3" t="s">
        <v>447</v>
      </c>
      <c r="B176" s="3" t="s">
        <v>409</v>
      </c>
      <c r="C176" s="3" t="s">
        <v>410</v>
      </c>
      <c r="D176" s="3" t="s">
        <v>107</v>
      </c>
      <c r="E176" s="3" t="s">
        <v>16</v>
      </c>
      <c r="F176" s="6" t="s">
        <v>101</v>
      </c>
      <c r="G176" s="3" t="s">
        <v>29</v>
      </c>
      <c r="H176" s="3"/>
      <c r="I176" s="3" t="s">
        <v>30</v>
      </c>
      <c r="J176" s="3"/>
      <c r="K176" s="3" t="s">
        <v>448</v>
      </c>
      <c r="L176" s="3"/>
    </row>
    <row r="177" customFormat="false" ht="15" hidden="false" customHeight="true" outlineLevel="0" collapsed="false">
      <c r="A177" s="3" t="s">
        <v>449</v>
      </c>
      <c r="B177" s="3" t="s">
        <v>409</v>
      </c>
      <c r="C177" s="3" t="s">
        <v>410</v>
      </c>
      <c r="D177" s="3" t="s">
        <v>112</v>
      </c>
      <c r="E177" s="3" t="s">
        <v>16</v>
      </c>
      <c r="F177" s="6" t="s">
        <v>101</v>
      </c>
      <c r="G177" s="3" t="s">
        <v>29</v>
      </c>
      <c r="H177" s="3"/>
      <c r="I177" s="3" t="s">
        <v>30</v>
      </c>
      <c r="J177" s="3"/>
      <c r="K177" s="3" t="s">
        <v>450</v>
      </c>
      <c r="L177" s="3"/>
    </row>
    <row r="178" customFormat="false" ht="21.75" hidden="false" customHeight="true" outlineLevel="0" collapsed="false">
      <c r="A178" s="3" t="s">
        <v>451</v>
      </c>
      <c r="B178" s="3" t="s">
        <v>409</v>
      </c>
      <c r="C178" s="3" t="s">
        <v>410</v>
      </c>
      <c r="D178" s="3" t="s">
        <v>115</v>
      </c>
      <c r="E178" s="3" t="s">
        <v>16</v>
      </c>
      <c r="F178" s="6" t="s">
        <v>101</v>
      </c>
      <c r="G178" s="3" t="s">
        <v>29</v>
      </c>
      <c r="H178" s="3"/>
      <c r="I178" s="3" t="s">
        <v>30</v>
      </c>
      <c r="J178" s="5" t="s">
        <v>452</v>
      </c>
      <c r="K178" s="3" t="s">
        <v>453</v>
      </c>
      <c r="L178" s="3"/>
    </row>
    <row r="179" customFormat="false" ht="15" hidden="false" customHeight="true" outlineLevel="0" collapsed="false">
      <c r="A179" s="3" t="s">
        <v>454</v>
      </c>
      <c r="B179" s="3" t="s">
        <v>409</v>
      </c>
      <c r="C179" s="3" t="s">
        <v>410</v>
      </c>
      <c r="D179" s="3" t="s">
        <v>186</v>
      </c>
      <c r="E179" s="3" t="s">
        <v>16</v>
      </c>
      <c r="F179" s="6" t="s">
        <v>101</v>
      </c>
      <c r="G179" s="3" t="s">
        <v>29</v>
      </c>
      <c r="H179" s="3"/>
      <c r="I179" s="3" t="s">
        <v>30</v>
      </c>
      <c r="J179" s="3"/>
      <c r="K179" s="3" t="s">
        <v>455</v>
      </c>
      <c r="L179" s="3"/>
    </row>
    <row r="180" customFormat="false" ht="15" hidden="false" customHeight="true" outlineLevel="0" collapsed="false">
      <c r="A180" s="3" t="s">
        <v>456</v>
      </c>
      <c r="B180" s="3" t="s">
        <v>409</v>
      </c>
      <c r="C180" s="3" t="s">
        <v>410</v>
      </c>
      <c r="D180" s="3" t="s">
        <v>189</v>
      </c>
      <c r="E180" s="3" t="s">
        <v>16</v>
      </c>
      <c r="F180" s="6" t="s">
        <v>101</v>
      </c>
      <c r="G180" s="3" t="s">
        <v>29</v>
      </c>
      <c r="H180" s="3"/>
      <c r="I180" s="3" t="s">
        <v>30</v>
      </c>
      <c r="J180" s="3"/>
      <c r="K180" s="3" t="s">
        <v>457</v>
      </c>
      <c r="L180" s="3"/>
    </row>
    <row r="181" customFormat="false" ht="15" hidden="false" customHeight="true" outlineLevel="0" collapsed="false">
      <c r="A181" s="3" t="s">
        <v>458</v>
      </c>
      <c r="B181" s="3" t="s">
        <v>409</v>
      </c>
      <c r="C181" s="3" t="s">
        <v>410</v>
      </c>
      <c r="D181" s="3" t="s">
        <v>191</v>
      </c>
      <c r="E181" s="3" t="s">
        <v>16</v>
      </c>
      <c r="F181" s="6" t="s">
        <v>101</v>
      </c>
      <c r="G181" s="3" t="s">
        <v>29</v>
      </c>
      <c r="H181" s="3"/>
      <c r="I181" s="3" t="s">
        <v>30</v>
      </c>
      <c r="J181" s="3"/>
      <c r="K181" s="3" t="s">
        <v>459</v>
      </c>
      <c r="L181" s="3"/>
    </row>
    <row r="182" customFormat="false" ht="15" hidden="false" customHeight="true" outlineLevel="0" collapsed="false">
      <c r="A182" s="3" t="s">
        <v>460</v>
      </c>
      <c r="B182" s="3" t="s">
        <v>409</v>
      </c>
      <c r="C182" s="3" t="s">
        <v>410</v>
      </c>
      <c r="D182" s="3" t="s">
        <v>193</v>
      </c>
      <c r="E182" s="3" t="s">
        <v>16</v>
      </c>
      <c r="F182" s="6" t="s">
        <v>101</v>
      </c>
      <c r="G182" s="3" t="s">
        <v>29</v>
      </c>
      <c r="H182" s="3"/>
      <c r="I182" s="3" t="s">
        <v>30</v>
      </c>
      <c r="J182" s="3"/>
      <c r="K182" s="3" t="s">
        <v>461</v>
      </c>
      <c r="L182" s="3"/>
    </row>
    <row r="183" customFormat="false" ht="15" hidden="false" customHeight="true" outlineLevel="0" collapsed="false">
      <c r="A183" s="3" t="s">
        <v>462</v>
      </c>
      <c r="B183" s="3" t="s">
        <v>409</v>
      </c>
      <c r="C183" s="3" t="s">
        <v>410</v>
      </c>
      <c r="D183" s="3" t="s">
        <v>196</v>
      </c>
      <c r="E183" s="3" t="s">
        <v>16</v>
      </c>
      <c r="F183" s="6" t="s">
        <v>101</v>
      </c>
      <c r="G183" s="3" t="s">
        <v>29</v>
      </c>
      <c r="H183" s="3"/>
      <c r="I183" s="3" t="s">
        <v>30</v>
      </c>
      <c r="J183" s="3"/>
      <c r="K183" s="3" t="s">
        <v>463</v>
      </c>
      <c r="L183" s="3"/>
    </row>
    <row r="184" customFormat="false" ht="15" hidden="false" customHeight="true" outlineLevel="0" collapsed="false">
      <c r="A184" s="3" t="s">
        <v>464</v>
      </c>
      <c r="B184" s="3" t="s">
        <v>409</v>
      </c>
      <c r="C184" s="3" t="s">
        <v>410</v>
      </c>
      <c r="D184" s="3" t="s">
        <v>199</v>
      </c>
      <c r="E184" s="3" t="s">
        <v>16</v>
      </c>
      <c r="F184" s="6" t="s">
        <v>101</v>
      </c>
      <c r="G184" s="3" t="s">
        <v>29</v>
      </c>
      <c r="H184" s="3"/>
      <c r="I184" s="3" t="s">
        <v>30</v>
      </c>
      <c r="J184" s="3"/>
      <c r="K184" s="3" t="s">
        <v>465</v>
      </c>
      <c r="L184" s="3"/>
    </row>
    <row r="185" customFormat="false" ht="21.75" hidden="false" customHeight="true" outlineLevel="0" collapsed="false">
      <c r="A185" s="3" t="s">
        <v>466</v>
      </c>
      <c r="B185" s="3" t="s">
        <v>409</v>
      </c>
      <c r="C185" s="3" t="s">
        <v>410</v>
      </c>
      <c r="D185" s="3" t="s">
        <v>202</v>
      </c>
      <c r="E185" s="3" t="s">
        <v>16</v>
      </c>
      <c r="F185" s="6" t="s">
        <v>101</v>
      </c>
      <c r="G185" s="3" t="s">
        <v>29</v>
      </c>
      <c r="H185" s="3"/>
      <c r="I185" s="3" t="s">
        <v>30</v>
      </c>
      <c r="J185" s="3"/>
      <c r="K185" s="3" t="s">
        <v>467</v>
      </c>
      <c r="L185" s="7" t="s">
        <v>468</v>
      </c>
    </row>
    <row r="186" customFormat="false" ht="21.75" hidden="false" customHeight="true" outlineLevel="0" collapsed="false">
      <c r="A186" s="3" t="s">
        <v>469</v>
      </c>
      <c r="B186" s="3" t="s">
        <v>409</v>
      </c>
      <c r="C186" s="3" t="s">
        <v>410</v>
      </c>
      <c r="D186" s="3" t="s">
        <v>470</v>
      </c>
      <c r="E186" s="3" t="s">
        <v>16</v>
      </c>
      <c r="F186" s="6" t="s">
        <v>101</v>
      </c>
      <c r="G186" s="3" t="s">
        <v>29</v>
      </c>
      <c r="H186" s="3"/>
      <c r="I186" s="3" t="s">
        <v>30</v>
      </c>
      <c r="J186" s="3"/>
      <c r="K186" s="3" t="s">
        <v>471</v>
      </c>
      <c r="L186" s="7" t="s">
        <v>468</v>
      </c>
    </row>
    <row r="187" customFormat="false" ht="15" hidden="false" customHeight="true" outlineLevel="0" collapsed="false">
      <c r="A187" s="3" t="s">
        <v>472</v>
      </c>
      <c r="B187" s="3" t="s">
        <v>409</v>
      </c>
      <c r="C187" s="3" t="s">
        <v>410</v>
      </c>
      <c r="D187" s="3" t="s">
        <v>205</v>
      </c>
      <c r="E187" s="3" t="s">
        <v>16</v>
      </c>
      <c r="F187" s="6" t="s">
        <v>101</v>
      </c>
      <c r="G187" s="3" t="s">
        <v>29</v>
      </c>
      <c r="H187" s="3"/>
      <c r="I187" s="3" t="s">
        <v>30</v>
      </c>
      <c r="J187" s="3"/>
      <c r="K187" s="3" t="s">
        <v>473</v>
      </c>
      <c r="L187" s="3"/>
    </row>
    <row r="188" customFormat="false" ht="15" hidden="false" customHeight="true" outlineLevel="0" collapsed="false">
      <c r="A188" s="3" t="s">
        <v>474</v>
      </c>
      <c r="B188" s="3" t="s">
        <v>409</v>
      </c>
      <c r="C188" s="3" t="s">
        <v>410</v>
      </c>
      <c r="D188" s="3" t="s">
        <v>475</v>
      </c>
      <c r="E188" s="3" t="s">
        <v>16</v>
      </c>
      <c r="F188" s="6" t="s">
        <v>101</v>
      </c>
      <c r="G188" s="3" t="s">
        <v>29</v>
      </c>
      <c r="H188" s="3"/>
      <c r="I188" s="3" t="s">
        <v>30</v>
      </c>
      <c r="J188" s="3"/>
      <c r="K188" s="3" t="s">
        <v>476</v>
      </c>
      <c r="L188" s="3"/>
    </row>
    <row r="189" customFormat="false" ht="21.75" hidden="false" customHeight="true" outlineLevel="0" collapsed="false">
      <c r="A189" s="3" t="s">
        <v>477</v>
      </c>
      <c r="B189" s="3" t="s">
        <v>478</v>
      </c>
      <c r="C189" s="3" t="s">
        <v>479</v>
      </c>
      <c r="D189" s="3" t="s">
        <v>15</v>
      </c>
      <c r="E189" s="3" t="s">
        <v>16</v>
      </c>
      <c r="F189" s="4" t="s">
        <v>17</v>
      </c>
      <c r="G189" s="3" t="s">
        <v>18</v>
      </c>
      <c r="H189" s="3"/>
      <c r="I189" s="3" t="s">
        <v>18</v>
      </c>
      <c r="J189" s="3"/>
      <c r="K189" s="3" t="s">
        <v>480</v>
      </c>
      <c r="L189" s="3"/>
    </row>
    <row r="190" customFormat="false" ht="21.75" hidden="false" customHeight="true" outlineLevel="0" collapsed="false">
      <c r="A190" s="3" t="s">
        <v>481</v>
      </c>
      <c r="B190" s="3" t="s">
        <v>478</v>
      </c>
      <c r="C190" s="3" t="s">
        <v>479</v>
      </c>
      <c r="D190" s="3" t="s">
        <v>21</v>
      </c>
      <c r="E190" s="3" t="s">
        <v>16</v>
      </c>
      <c r="F190" s="4" t="s">
        <v>17</v>
      </c>
      <c r="G190" s="3" t="s">
        <v>29</v>
      </c>
      <c r="H190" s="3"/>
      <c r="I190" s="3" t="s">
        <v>30</v>
      </c>
      <c r="J190" s="3"/>
      <c r="K190" s="3" t="s">
        <v>411</v>
      </c>
      <c r="L190" s="3"/>
    </row>
    <row r="191" customFormat="false" ht="21.75" hidden="false" customHeight="true" outlineLevel="0" collapsed="false">
      <c r="A191" s="3" t="s">
        <v>482</v>
      </c>
      <c r="B191" s="3" t="s">
        <v>478</v>
      </c>
      <c r="C191" s="3" t="s">
        <v>479</v>
      </c>
      <c r="D191" s="3" t="s">
        <v>25</v>
      </c>
      <c r="E191" s="3" t="s">
        <v>16</v>
      </c>
      <c r="F191" s="4" t="s">
        <v>17</v>
      </c>
      <c r="G191" s="3" t="s">
        <v>29</v>
      </c>
      <c r="H191" s="3"/>
      <c r="I191" s="3" t="s">
        <v>30</v>
      </c>
      <c r="J191" s="5" t="s">
        <v>452</v>
      </c>
      <c r="K191" s="3" t="s">
        <v>483</v>
      </c>
      <c r="L191" s="3"/>
    </row>
    <row r="192" customFormat="false" ht="21.75" hidden="false" customHeight="true" outlineLevel="0" collapsed="false">
      <c r="A192" s="3" t="s">
        <v>484</v>
      </c>
      <c r="B192" s="3" t="s">
        <v>478</v>
      </c>
      <c r="C192" s="3" t="s">
        <v>479</v>
      </c>
      <c r="D192" s="3" t="s">
        <v>28</v>
      </c>
      <c r="E192" s="3" t="s">
        <v>16</v>
      </c>
      <c r="F192" s="4" t="s">
        <v>17</v>
      </c>
      <c r="G192" s="3" t="s">
        <v>29</v>
      </c>
      <c r="H192" s="3"/>
      <c r="I192" s="3" t="s">
        <v>30</v>
      </c>
      <c r="J192" s="3"/>
      <c r="K192" s="3" t="s">
        <v>415</v>
      </c>
      <c r="L192" s="3"/>
    </row>
    <row r="193" customFormat="false" ht="21.75" hidden="false" customHeight="true" outlineLevel="0" collapsed="false">
      <c r="A193" s="3" t="s">
        <v>485</v>
      </c>
      <c r="B193" s="3" t="s">
        <v>478</v>
      </c>
      <c r="C193" s="3" t="s">
        <v>479</v>
      </c>
      <c r="D193" s="3" t="s">
        <v>33</v>
      </c>
      <c r="E193" s="3" t="s">
        <v>16</v>
      </c>
      <c r="F193" s="4" t="s">
        <v>17</v>
      </c>
      <c r="G193" s="3" t="s">
        <v>29</v>
      </c>
      <c r="H193" s="3"/>
      <c r="I193" s="3" t="s">
        <v>30</v>
      </c>
      <c r="J193" s="3"/>
      <c r="K193" s="3" t="s">
        <v>486</v>
      </c>
      <c r="L193" s="3"/>
    </row>
    <row r="194" customFormat="false" ht="21.75" hidden="false" customHeight="true" outlineLevel="0" collapsed="false">
      <c r="A194" s="3" t="s">
        <v>487</v>
      </c>
      <c r="B194" s="3" t="s">
        <v>478</v>
      </c>
      <c r="C194" s="3" t="s">
        <v>479</v>
      </c>
      <c r="D194" s="3" t="s">
        <v>36</v>
      </c>
      <c r="E194" s="3" t="s">
        <v>16</v>
      </c>
      <c r="F194" s="4" t="s">
        <v>17</v>
      </c>
      <c r="G194" s="3" t="s">
        <v>29</v>
      </c>
      <c r="H194" s="3"/>
      <c r="I194" s="3" t="s">
        <v>30</v>
      </c>
      <c r="J194" s="3"/>
      <c r="K194" s="3" t="s">
        <v>488</v>
      </c>
      <c r="L194" s="3"/>
    </row>
    <row r="195" customFormat="false" ht="21.75" hidden="false" customHeight="true" outlineLevel="0" collapsed="false">
      <c r="A195" s="3" t="s">
        <v>489</v>
      </c>
      <c r="B195" s="3" t="s">
        <v>478</v>
      </c>
      <c r="C195" s="3" t="s">
        <v>479</v>
      </c>
      <c r="D195" s="3" t="s">
        <v>39</v>
      </c>
      <c r="E195" s="3" t="s">
        <v>16</v>
      </c>
      <c r="F195" s="4" t="s">
        <v>17</v>
      </c>
      <c r="G195" s="3" t="s">
        <v>29</v>
      </c>
      <c r="H195" s="3"/>
      <c r="I195" s="3" t="s">
        <v>30</v>
      </c>
      <c r="J195" s="5" t="s">
        <v>490</v>
      </c>
      <c r="K195" s="3" t="s">
        <v>491</v>
      </c>
      <c r="L195" s="3"/>
    </row>
    <row r="196" customFormat="false" ht="21.75" hidden="false" customHeight="true" outlineLevel="0" collapsed="false">
      <c r="A196" s="3" t="s">
        <v>492</v>
      </c>
      <c r="B196" s="3" t="s">
        <v>478</v>
      </c>
      <c r="C196" s="3" t="s">
        <v>479</v>
      </c>
      <c r="D196" s="3" t="s">
        <v>42</v>
      </c>
      <c r="E196" s="3" t="s">
        <v>16</v>
      </c>
      <c r="F196" s="4" t="s">
        <v>17</v>
      </c>
      <c r="G196" s="3" t="s">
        <v>29</v>
      </c>
      <c r="H196" s="3"/>
      <c r="I196" s="3" t="s">
        <v>30</v>
      </c>
      <c r="J196" s="3"/>
      <c r="K196" s="3" t="s">
        <v>493</v>
      </c>
      <c r="L196" s="3"/>
    </row>
    <row r="197" customFormat="false" ht="21.75" hidden="false" customHeight="true" outlineLevel="0" collapsed="false">
      <c r="A197" s="3" t="s">
        <v>494</v>
      </c>
      <c r="B197" s="3" t="s">
        <v>478</v>
      </c>
      <c r="C197" s="3" t="s">
        <v>479</v>
      </c>
      <c r="D197" s="3" t="s">
        <v>46</v>
      </c>
      <c r="E197" s="3" t="s">
        <v>16</v>
      </c>
      <c r="F197" s="4" t="s">
        <v>17</v>
      </c>
      <c r="G197" s="3" t="s">
        <v>29</v>
      </c>
      <c r="H197" s="3"/>
      <c r="I197" s="3" t="s">
        <v>30</v>
      </c>
      <c r="J197" s="3"/>
      <c r="K197" s="3" t="s">
        <v>419</v>
      </c>
      <c r="L197" s="3"/>
    </row>
    <row r="198" customFormat="false" ht="21.75" hidden="false" customHeight="true" outlineLevel="0" collapsed="false">
      <c r="A198" s="3" t="s">
        <v>495</v>
      </c>
      <c r="B198" s="3" t="s">
        <v>478</v>
      </c>
      <c r="C198" s="3" t="s">
        <v>479</v>
      </c>
      <c r="D198" s="3" t="s">
        <v>49</v>
      </c>
      <c r="E198" s="3" t="s">
        <v>16</v>
      </c>
      <c r="F198" s="4" t="s">
        <v>17</v>
      </c>
      <c r="G198" s="3" t="s">
        <v>29</v>
      </c>
      <c r="H198" s="3"/>
      <c r="I198" s="3" t="s">
        <v>30</v>
      </c>
      <c r="J198" s="3"/>
      <c r="K198" s="3" t="s">
        <v>496</v>
      </c>
      <c r="L198" s="3"/>
    </row>
    <row r="199" customFormat="false" ht="21.75" hidden="false" customHeight="true" outlineLevel="0" collapsed="false">
      <c r="A199" s="3" t="s">
        <v>497</v>
      </c>
      <c r="B199" s="3" t="s">
        <v>478</v>
      </c>
      <c r="C199" s="3" t="s">
        <v>479</v>
      </c>
      <c r="D199" s="3" t="s">
        <v>52</v>
      </c>
      <c r="E199" s="3" t="s">
        <v>16</v>
      </c>
      <c r="F199" s="4" t="s">
        <v>17</v>
      </c>
      <c r="G199" s="3" t="s">
        <v>29</v>
      </c>
      <c r="H199" s="3"/>
      <c r="I199" s="3" t="s">
        <v>30</v>
      </c>
      <c r="J199" s="3"/>
      <c r="K199" s="3" t="s">
        <v>331</v>
      </c>
      <c r="L199" s="3"/>
    </row>
    <row r="200" customFormat="false" ht="21.75" hidden="false" customHeight="true" outlineLevel="0" collapsed="false">
      <c r="A200" s="3" t="s">
        <v>498</v>
      </c>
      <c r="B200" s="3" t="s">
        <v>478</v>
      </c>
      <c r="C200" s="3" t="s">
        <v>479</v>
      </c>
      <c r="D200" s="3" t="s">
        <v>55</v>
      </c>
      <c r="E200" s="3" t="s">
        <v>16</v>
      </c>
      <c r="F200" s="4" t="s">
        <v>17</v>
      </c>
      <c r="G200" s="3" t="s">
        <v>29</v>
      </c>
      <c r="H200" s="3"/>
      <c r="I200" s="3" t="s">
        <v>30</v>
      </c>
      <c r="J200" s="3"/>
      <c r="K200" s="3" t="s">
        <v>499</v>
      </c>
      <c r="L200" s="3"/>
    </row>
    <row r="201" customFormat="false" ht="21.75" hidden="false" customHeight="true" outlineLevel="0" collapsed="false">
      <c r="A201" s="3" t="s">
        <v>500</v>
      </c>
      <c r="B201" s="3" t="s">
        <v>478</v>
      </c>
      <c r="C201" s="3" t="s">
        <v>479</v>
      </c>
      <c r="D201" s="3" t="s">
        <v>58</v>
      </c>
      <c r="E201" s="3" t="s">
        <v>16</v>
      </c>
      <c r="F201" s="4" t="s">
        <v>17</v>
      </c>
      <c r="G201" s="3" t="s">
        <v>29</v>
      </c>
      <c r="H201" s="3"/>
      <c r="I201" s="3" t="s">
        <v>30</v>
      </c>
      <c r="J201" s="3"/>
      <c r="K201" s="3" t="s">
        <v>427</v>
      </c>
      <c r="L201" s="3"/>
    </row>
    <row r="202" customFormat="false" ht="21.75" hidden="false" customHeight="true" outlineLevel="0" collapsed="false">
      <c r="A202" s="3" t="s">
        <v>501</v>
      </c>
      <c r="B202" s="3" t="s">
        <v>478</v>
      </c>
      <c r="C202" s="3" t="s">
        <v>479</v>
      </c>
      <c r="D202" s="3" t="s">
        <v>61</v>
      </c>
      <c r="E202" s="3" t="s">
        <v>16</v>
      </c>
      <c r="F202" s="4" t="s">
        <v>17</v>
      </c>
      <c r="G202" s="3" t="s">
        <v>29</v>
      </c>
      <c r="H202" s="3"/>
      <c r="I202" s="3" t="s">
        <v>30</v>
      </c>
      <c r="J202" s="3"/>
      <c r="K202" s="3" t="s">
        <v>429</v>
      </c>
      <c r="L202" s="3"/>
    </row>
    <row r="203" customFormat="false" ht="21.75" hidden="false" customHeight="true" outlineLevel="0" collapsed="false">
      <c r="A203" s="3" t="s">
        <v>502</v>
      </c>
      <c r="B203" s="3" t="s">
        <v>478</v>
      </c>
      <c r="C203" s="3" t="s">
        <v>479</v>
      </c>
      <c r="D203" s="3" t="s">
        <v>65</v>
      </c>
      <c r="E203" s="3" t="s">
        <v>16</v>
      </c>
      <c r="F203" s="4" t="s">
        <v>17</v>
      </c>
      <c r="G203" s="3" t="s">
        <v>29</v>
      </c>
      <c r="H203" s="3"/>
      <c r="I203" s="3" t="s">
        <v>30</v>
      </c>
      <c r="J203" s="3"/>
      <c r="K203" s="3" t="s">
        <v>503</v>
      </c>
      <c r="L203" s="3"/>
    </row>
    <row r="204" customFormat="false" ht="32.25" hidden="false" customHeight="true" outlineLevel="0" collapsed="false">
      <c r="A204" s="3" t="s">
        <v>504</v>
      </c>
      <c r="B204" s="3" t="s">
        <v>478</v>
      </c>
      <c r="C204" s="3" t="s">
        <v>479</v>
      </c>
      <c r="D204" s="3" t="s">
        <v>68</v>
      </c>
      <c r="E204" s="3" t="s">
        <v>16</v>
      </c>
      <c r="F204" s="4" t="s">
        <v>17</v>
      </c>
      <c r="G204" s="3" t="s">
        <v>29</v>
      </c>
      <c r="H204" s="3"/>
      <c r="I204" s="3" t="s">
        <v>30</v>
      </c>
      <c r="J204" s="3"/>
      <c r="K204" s="3" t="s">
        <v>505</v>
      </c>
      <c r="L204" s="7" t="s">
        <v>506</v>
      </c>
    </row>
    <row r="205" customFormat="false" ht="21.75" hidden="false" customHeight="true" outlineLevel="0" collapsed="false">
      <c r="A205" s="3" t="s">
        <v>507</v>
      </c>
      <c r="B205" s="3" t="s">
        <v>478</v>
      </c>
      <c r="C205" s="3" t="s">
        <v>479</v>
      </c>
      <c r="D205" s="3" t="s">
        <v>71</v>
      </c>
      <c r="E205" s="3" t="s">
        <v>16</v>
      </c>
      <c r="F205" s="4" t="s">
        <v>17</v>
      </c>
      <c r="G205" s="3" t="s">
        <v>29</v>
      </c>
      <c r="H205" s="3"/>
      <c r="I205" s="3" t="s">
        <v>30</v>
      </c>
      <c r="J205" s="3"/>
      <c r="K205" s="3" t="s">
        <v>508</v>
      </c>
      <c r="L205" s="3"/>
    </row>
    <row r="206" customFormat="false" ht="21.75" hidden="false" customHeight="true" outlineLevel="0" collapsed="false">
      <c r="A206" s="3" t="s">
        <v>509</v>
      </c>
      <c r="B206" s="3" t="s">
        <v>478</v>
      </c>
      <c r="C206" s="3" t="s">
        <v>479</v>
      </c>
      <c r="D206" s="3" t="s">
        <v>159</v>
      </c>
      <c r="E206" s="3" t="s">
        <v>16</v>
      </c>
      <c r="F206" s="4" t="s">
        <v>17</v>
      </c>
      <c r="G206" s="3" t="s">
        <v>29</v>
      </c>
      <c r="H206" s="3"/>
      <c r="I206" s="3" t="s">
        <v>30</v>
      </c>
      <c r="J206" s="5" t="s">
        <v>433</v>
      </c>
      <c r="K206" s="3" t="s">
        <v>434</v>
      </c>
      <c r="L206" s="3"/>
    </row>
    <row r="207" customFormat="false" ht="21.75" hidden="false" customHeight="true" outlineLevel="0" collapsed="false">
      <c r="A207" s="3" t="s">
        <v>510</v>
      </c>
      <c r="B207" s="3" t="s">
        <v>478</v>
      </c>
      <c r="C207" s="3" t="s">
        <v>479</v>
      </c>
      <c r="D207" s="3" t="s">
        <v>163</v>
      </c>
      <c r="E207" s="3" t="s">
        <v>16</v>
      </c>
      <c r="F207" s="4" t="s">
        <v>17</v>
      </c>
      <c r="G207" s="3" t="s">
        <v>29</v>
      </c>
      <c r="H207" s="3"/>
      <c r="I207" s="3" t="s">
        <v>30</v>
      </c>
      <c r="J207" s="5" t="s">
        <v>436</v>
      </c>
      <c r="K207" s="3" t="s">
        <v>437</v>
      </c>
      <c r="L207" s="3"/>
    </row>
    <row r="208" customFormat="false" ht="21.75" hidden="false" customHeight="true" outlineLevel="0" collapsed="false">
      <c r="A208" s="3" t="s">
        <v>511</v>
      </c>
      <c r="B208" s="3" t="s">
        <v>478</v>
      </c>
      <c r="C208" s="3" t="s">
        <v>479</v>
      </c>
      <c r="D208" s="3" t="s">
        <v>166</v>
      </c>
      <c r="E208" s="3" t="s">
        <v>16</v>
      </c>
      <c r="F208" s="4" t="s">
        <v>17</v>
      </c>
      <c r="G208" s="3" t="s">
        <v>29</v>
      </c>
      <c r="H208" s="3"/>
      <c r="I208" s="3" t="s">
        <v>30</v>
      </c>
      <c r="J208" s="5" t="s">
        <v>436</v>
      </c>
      <c r="K208" s="3" t="s">
        <v>439</v>
      </c>
      <c r="L208" s="3"/>
    </row>
    <row r="209" customFormat="false" ht="21.75" hidden="false" customHeight="true" outlineLevel="0" collapsed="false">
      <c r="A209" s="3" t="s">
        <v>512</v>
      </c>
      <c r="B209" s="3" t="s">
        <v>478</v>
      </c>
      <c r="C209" s="3" t="s">
        <v>479</v>
      </c>
      <c r="D209" s="3" t="s">
        <v>74</v>
      </c>
      <c r="E209" s="3" t="s">
        <v>75</v>
      </c>
      <c r="F209" s="4" t="s">
        <v>17</v>
      </c>
      <c r="G209" s="3" t="s">
        <v>29</v>
      </c>
      <c r="H209" s="3"/>
      <c r="I209" s="3" t="s">
        <v>30</v>
      </c>
      <c r="J209" s="3"/>
      <c r="K209" s="3" t="s">
        <v>473</v>
      </c>
      <c r="L209" s="3"/>
    </row>
    <row r="210" customFormat="false" ht="21.75" hidden="false" customHeight="true" outlineLevel="0" collapsed="false">
      <c r="A210" s="3" t="s">
        <v>513</v>
      </c>
      <c r="B210" s="3" t="s">
        <v>478</v>
      </c>
      <c r="C210" s="3" t="s">
        <v>479</v>
      </c>
      <c r="D210" s="3" t="s">
        <v>81</v>
      </c>
      <c r="E210" s="3" t="s">
        <v>75</v>
      </c>
      <c r="F210" s="4" t="s">
        <v>17</v>
      </c>
      <c r="G210" s="3" t="s">
        <v>29</v>
      </c>
      <c r="H210" s="3"/>
      <c r="I210" s="3" t="s">
        <v>30</v>
      </c>
      <c r="J210" s="3"/>
      <c r="K210" s="3" t="s">
        <v>441</v>
      </c>
      <c r="L210" s="3"/>
    </row>
    <row r="211" customFormat="false" ht="21.75" hidden="false" customHeight="true" outlineLevel="0" collapsed="false">
      <c r="A211" s="3" t="s">
        <v>514</v>
      </c>
      <c r="B211" s="3" t="s">
        <v>478</v>
      </c>
      <c r="C211" s="3" t="s">
        <v>479</v>
      </c>
      <c r="D211" s="3" t="s">
        <v>84</v>
      </c>
      <c r="E211" s="3" t="s">
        <v>75</v>
      </c>
      <c r="F211" s="4" t="s">
        <v>17</v>
      </c>
      <c r="G211" s="3" t="s">
        <v>29</v>
      </c>
      <c r="H211" s="3"/>
      <c r="I211" s="3" t="s">
        <v>30</v>
      </c>
      <c r="J211" s="3"/>
      <c r="K211" s="3" t="s">
        <v>443</v>
      </c>
      <c r="L211" s="3"/>
    </row>
    <row r="212" customFormat="false" ht="21.75" hidden="false" customHeight="true" outlineLevel="0" collapsed="false">
      <c r="A212" s="3" t="s">
        <v>515</v>
      </c>
      <c r="B212" s="3" t="s">
        <v>478</v>
      </c>
      <c r="C212" s="3" t="s">
        <v>479</v>
      </c>
      <c r="D212" s="3" t="s">
        <v>100</v>
      </c>
      <c r="E212" s="3" t="s">
        <v>16</v>
      </c>
      <c r="F212" s="6" t="s">
        <v>101</v>
      </c>
      <c r="G212" s="3" t="s">
        <v>29</v>
      </c>
      <c r="H212" s="3"/>
      <c r="I212" s="3" t="s">
        <v>30</v>
      </c>
      <c r="J212" s="3"/>
      <c r="K212" s="3" t="s">
        <v>102</v>
      </c>
      <c r="L212" s="3"/>
    </row>
    <row r="213" customFormat="false" ht="21.75" hidden="false" customHeight="true" outlineLevel="0" collapsed="false">
      <c r="A213" s="3" t="s">
        <v>516</v>
      </c>
      <c r="B213" s="3" t="s">
        <v>478</v>
      </c>
      <c r="C213" s="3" t="s">
        <v>479</v>
      </c>
      <c r="D213" s="3" t="s">
        <v>104</v>
      </c>
      <c r="E213" s="3" t="s">
        <v>16</v>
      </c>
      <c r="F213" s="6" t="s">
        <v>101</v>
      </c>
      <c r="G213" s="3" t="s">
        <v>29</v>
      </c>
      <c r="H213" s="3"/>
      <c r="I213" s="3" t="s">
        <v>30</v>
      </c>
      <c r="J213" s="3"/>
      <c r="K213" s="3" t="s">
        <v>446</v>
      </c>
      <c r="L213" s="3"/>
    </row>
    <row r="214" customFormat="false" ht="21.75" hidden="false" customHeight="true" outlineLevel="0" collapsed="false">
      <c r="A214" s="3" t="s">
        <v>517</v>
      </c>
      <c r="B214" s="3" t="s">
        <v>478</v>
      </c>
      <c r="C214" s="3" t="s">
        <v>479</v>
      </c>
      <c r="D214" s="3" t="s">
        <v>107</v>
      </c>
      <c r="E214" s="3" t="s">
        <v>16</v>
      </c>
      <c r="F214" s="6" t="s">
        <v>101</v>
      </c>
      <c r="G214" s="3" t="s">
        <v>18</v>
      </c>
      <c r="H214" s="3"/>
      <c r="I214" s="3" t="s">
        <v>18</v>
      </c>
      <c r="J214" s="3"/>
      <c r="K214" s="3" t="s">
        <v>518</v>
      </c>
      <c r="L214" s="3"/>
    </row>
    <row r="215" customFormat="false" ht="21.75" hidden="false" customHeight="true" outlineLevel="0" collapsed="false">
      <c r="A215" s="3" t="s">
        <v>519</v>
      </c>
      <c r="B215" s="3" t="s">
        <v>478</v>
      </c>
      <c r="C215" s="3" t="s">
        <v>479</v>
      </c>
      <c r="D215" s="3" t="s">
        <v>112</v>
      </c>
      <c r="E215" s="3" t="s">
        <v>16</v>
      </c>
      <c r="F215" s="6" t="s">
        <v>101</v>
      </c>
      <c r="G215" s="3" t="s">
        <v>29</v>
      </c>
      <c r="H215" s="3"/>
      <c r="I215" s="3" t="s">
        <v>30</v>
      </c>
      <c r="J215" s="3"/>
      <c r="K215" s="3" t="s">
        <v>448</v>
      </c>
      <c r="L215" s="3"/>
    </row>
    <row r="216" customFormat="false" ht="21.75" hidden="false" customHeight="true" outlineLevel="0" collapsed="false">
      <c r="A216" s="3" t="s">
        <v>520</v>
      </c>
      <c r="B216" s="3" t="s">
        <v>478</v>
      </c>
      <c r="C216" s="3" t="s">
        <v>479</v>
      </c>
      <c r="D216" s="3" t="s">
        <v>115</v>
      </c>
      <c r="E216" s="3" t="s">
        <v>16</v>
      </c>
      <c r="F216" s="6" t="s">
        <v>101</v>
      </c>
      <c r="G216" s="3" t="s">
        <v>29</v>
      </c>
      <c r="H216" s="3"/>
      <c r="I216" s="3" t="s">
        <v>30</v>
      </c>
      <c r="J216" s="3"/>
      <c r="K216" s="3" t="s">
        <v>521</v>
      </c>
      <c r="L216" s="3"/>
    </row>
    <row r="217" customFormat="false" ht="21.75" hidden="false" customHeight="true" outlineLevel="0" collapsed="false">
      <c r="A217" s="3" t="s">
        <v>522</v>
      </c>
      <c r="B217" s="3" t="s">
        <v>478</v>
      </c>
      <c r="C217" s="3" t="s">
        <v>479</v>
      </c>
      <c r="D217" s="3" t="s">
        <v>186</v>
      </c>
      <c r="E217" s="3" t="s">
        <v>16</v>
      </c>
      <c r="F217" s="6" t="s">
        <v>101</v>
      </c>
      <c r="G217" s="3" t="s">
        <v>29</v>
      </c>
      <c r="H217" s="3"/>
      <c r="I217" s="3" t="s">
        <v>30</v>
      </c>
      <c r="J217" s="3"/>
      <c r="K217" s="3" t="s">
        <v>523</v>
      </c>
      <c r="L217" s="3"/>
    </row>
    <row r="218" customFormat="false" ht="21.75" hidden="false" customHeight="true" outlineLevel="0" collapsed="false">
      <c r="A218" s="3" t="s">
        <v>524</v>
      </c>
      <c r="B218" s="3" t="s">
        <v>478</v>
      </c>
      <c r="C218" s="3" t="s">
        <v>479</v>
      </c>
      <c r="D218" s="3" t="s">
        <v>189</v>
      </c>
      <c r="E218" s="3" t="s">
        <v>16</v>
      </c>
      <c r="F218" s="6" t="s">
        <v>101</v>
      </c>
      <c r="G218" s="3" t="s">
        <v>29</v>
      </c>
      <c r="H218" s="3"/>
      <c r="I218" s="3" t="s">
        <v>30</v>
      </c>
      <c r="J218" s="3"/>
      <c r="K218" s="3" t="s">
        <v>525</v>
      </c>
      <c r="L218" s="3"/>
    </row>
    <row r="219" customFormat="false" ht="21.75" hidden="false" customHeight="true" outlineLevel="0" collapsed="false">
      <c r="A219" s="3" t="s">
        <v>526</v>
      </c>
      <c r="B219" s="3" t="s">
        <v>478</v>
      </c>
      <c r="C219" s="3" t="s">
        <v>479</v>
      </c>
      <c r="D219" s="3" t="s">
        <v>191</v>
      </c>
      <c r="E219" s="3" t="s">
        <v>16</v>
      </c>
      <c r="F219" s="6" t="s">
        <v>101</v>
      </c>
      <c r="G219" s="3" t="s">
        <v>29</v>
      </c>
      <c r="H219" s="3"/>
      <c r="I219" s="3" t="s">
        <v>30</v>
      </c>
      <c r="J219" s="3"/>
      <c r="K219" s="3" t="s">
        <v>457</v>
      </c>
      <c r="L219" s="3"/>
    </row>
    <row r="220" customFormat="false" ht="21.75" hidden="false" customHeight="true" outlineLevel="0" collapsed="false">
      <c r="A220" s="3" t="s">
        <v>527</v>
      </c>
      <c r="B220" s="3" t="s">
        <v>478</v>
      </c>
      <c r="C220" s="3" t="s">
        <v>479</v>
      </c>
      <c r="D220" s="3" t="s">
        <v>193</v>
      </c>
      <c r="E220" s="3" t="s">
        <v>16</v>
      </c>
      <c r="F220" s="6" t="s">
        <v>101</v>
      </c>
      <c r="G220" s="3" t="s">
        <v>29</v>
      </c>
      <c r="H220" s="3"/>
      <c r="I220" s="3" t="s">
        <v>30</v>
      </c>
      <c r="J220" s="3"/>
      <c r="K220" s="3" t="s">
        <v>528</v>
      </c>
      <c r="L220" s="3"/>
    </row>
    <row r="221" customFormat="false" ht="21.75" hidden="false" customHeight="true" outlineLevel="0" collapsed="false">
      <c r="A221" s="3" t="s">
        <v>529</v>
      </c>
      <c r="B221" s="3" t="s">
        <v>478</v>
      </c>
      <c r="C221" s="3" t="s">
        <v>479</v>
      </c>
      <c r="D221" s="3" t="s">
        <v>196</v>
      </c>
      <c r="E221" s="3" t="s">
        <v>16</v>
      </c>
      <c r="F221" s="6" t="s">
        <v>101</v>
      </c>
      <c r="G221" s="3" t="s">
        <v>29</v>
      </c>
      <c r="H221" s="3"/>
      <c r="I221" s="3" t="s">
        <v>30</v>
      </c>
      <c r="J221" s="3"/>
      <c r="K221" s="3" t="s">
        <v>461</v>
      </c>
      <c r="L221" s="3"/>
    </row>
    <row r="222" customFormat="false" ht="21.75" hidden="false" customHeight="true" outlineLevel="0" collapsed="false">
      <c r="A222" s="3" t="s">
        <v>530</v>
      </c>
      <c r="B222" s="3" t="s">
        <v>478</v>
      </c>
      <c r="C222" s="3" t="s">
        <v>479</v>
      </c>
      <c r="D222" s="3" t="s">
        <v>199</v>
      </c>
      <c r="E222" s="3" t="s">
        <v>16</v>
      </c>
      <c r="F222" s="6" t="s">
        <v>101</v>
      </c>
      <c r="G222" s="3" t="s">
        <v>29</v>
      </c>
      <c r="H222" s="3"/>
      <c r="I222" s="3" t="s">
        <v>30</v>
      </c>
      <c r="J222" s="3"/>
      <c r="K222" s="3" t="s">
        <v>463</v>
      </c>
      <c r="L222" s="3"/>
    </row>
    <row r="223" customFormat="false" ht="21.75" hidden="false" customHeight="true" outlineLevel="0" collapsed="false">
      <c r="A223" s="3" t="s">
        <v>531</v>
      </c>
      <c r="B223" s="3" t="s">
        <v>478</v>
      </c>
      <c r="C223" s="3" t="s">
        <v>479</v>
      </c>
      <c r="D223" s="3" t="s">
        <v>202</v>
      </c>
      <c r="E223" s="3" t="s">
        <v>16</v>
      </c>
      <c r="F223" s="6" t="s">
        <v>101</v>
      </c>
      <c r="G223" s="3" t="s">
        <v>29</v>
      </c>
      <c r="H223" s="3"/>
      <c r="I223" s="3" t="s">
        <v>30</v>
      </c>
      <c r="J223" s="3"/>
      <c r="K223" s="3" t="s">
        <v>465</v>
      </c>
      <c r="L223" s="3"/>
    </row>
    <row r="224" customFormat="false" ht="21.75" hidden="false" customHeight="true" outlineLevel="0" collapsed="false">
      <c r="A224" s="3" t="s">
        <v>532</v>
      </c>
      <c r="B224" s="3" t="s">
        <v>478</v>
      </c>
      <c r="C224" s="3" t="s">
        <v>479</v>
      </c>
      <c r="D224" s="3" t="s">
        <v>205</v>
      </c>
      <c r="E224" s="3" t="s">
        <v>16</v>
      </c>
      <c r="F224" s="6" t="s">
        <v>101</v>
      </c>
      <c r="G224" s="3" t="s">
        <v>29</v>
      </c>
      <c r="H224" s="3"/>
      <c r="I224" s="3" t="s">
        <v>30</v>
      </c>
      <c r="J224" s="3"/>
      <c r="K224" s="3" t="s">
        <v>533</v>
      </c>
      <c r="L224" s="3"/>
    </row>
    <row r="225" customFormat="false" ht="21.75" hidden="false" customHeight="true" outlineLevel="0" collapsed="false">
      <c r="A225" s="3" t="s">
        <v>534</v>
      </c>
      <c r="B225" s="3" t="s">
        <v>478</v>
      </c>
      <c r="C225" s="3" t="s">
        <v>479</v>
      </c>
      <c r="D225" s="3" t="s">
        <v>475</v>
      </c>
      <c r="E225" s="3" t="s">
        <v>16</v>
      </c>
      <c r="F225" s="6" t="s">
        <v>101</v>
      </c>
      <c r="G225" s="3" t="s">
        <v>29</v>
      </c>
      <c r="H225" s="3"/>
      <c r="I225" s="3" t="s">
        <v>30</v>
      </c>
      <c r="J225" s="3"/>
      <c r="K225" s="3" t="s">
        <v>535</v>
      </c>
      <c r="L225" s="3"/>
    </row>
    <row r="226" customFormat="false" ht="21.75" hidden="false" customHeight="true" outlineLevel="0" collapsed="false">
      <c r="A226" s="3" t="s">
        <v>536</v>
      </c>
      <c r="B226" s="3" t="s">
        <v>478</v>
      </c>
      <c r="C226" s="3" t="s">
        <v>479</v>
      </c>
      <c r="D226" s="3" t="s">
        <v>537</v>
      </c>
      <c r="E226" s="3" t="s">
        <v>16</v>
      </c>
      <c r="F226" s="6" t="s">
        <v>101</v>
      </c>
      <c r="G226" s="3" t="s">
        <v>29</v>
      </c>
      <c r="H226" s="3"/>
      <c r="I226" s="3" t="s">
        <v>30</v>
      </c>
      <c r="J226" s="3"/>
      <c r="K226" s="3" t="s">
        <v>538</v>
      </c>
      <c r="L226" s="3"/>
    </row>
    <row r="227" customFormat="false" ht="21.75" hidden="false" customHeight="true" outlineLevel="0" collapsed="false">
      <c r="A227" s="3" t="s">
        <v>539</v>
      </c>
      <c r="B227" s="3" t="s">
        <v>478</v>
      </c>
      <c r="C227" s="3" t="s">
        <v>479</v>
      </c>
      <c r="D227" s="3" t="s">
        <v>540</v>
      </c>
      <c r="E227" s="3" t="s">
        <v>16</v>
      </c>
      <c r="F227" s="6" t="s">
        <v>101</v>
      </c>
      <c r="G227" s="3" t="s">
        <v>29</v>
      </c>
      <c r="H227" s="3"/>
      <c r="I227" s="3" t="s">
        <v>30</v>
      </c>
      <c r="J227" s="3"/>
      <c r="K227" s="3" t="s">
        <v>541</v>
      </c>
      <c r="L227" s="3"/>
    </row>
    <row r="228" customFormat="false" ht="21.75" hidden="false" customHeight="true" outlineLevel="0" collapsed="false">
      <c r="A228" s="3" t="s">
        <v>542</v>
      </c>
      <c r="B228" s="3" t="s">
        <v>478</v>
      </c>
      <c r="C228" s="3" t="s">
        <v>479</v>
      </c>
      <c r="D228" s="3" t="s">
        <v>543</v>
      </c>
      <c r="E228" s="3" t="s">
        <v>16</v>
      </c>
      <c r="F228" s="6" t="s">
        <v>101</v>
      </c>
      <c r="G228" s="3" t="s">
        <v>29</v>
      </c>
      <c r="H228" s="3"/>
      <c r="I228" s="3" t="s">
        <v>30</v>
      </c>
      <c r="J228" s="3"/>
      <c r="K228" s="3" t="s">
        <v>544</v>
      </c>
      <c r="L228" s="3"/>
    </row>
    <row r="229" customFormat="false" ht="21.75" hidden="false" customHeight="true" outlineLevel="0" collapsed="false">
      <c r="A229" s="3" t="s">
        <v>545</v>
      </c>
      <c r="B229" s="3" t="s">
        <v>478</v>
      </c>
      <c r="C229" s="3" t="s">
        <v>479</v>
      </c>
      <c r="D229" s="3" t="s">
        <v>546</v>
      </c>
      <c r="E229" s="3" t="s">
        <v>16</v>
      </c>
      <c r="F229" s="6" t="s">
        <v>101</v>
      </c>
      <c r="G229" s="3" t="s">
        <v>29</v>
      </c>
      <c r="H229" s="3"/>
      <c r="I229" s="3" t="s">
        <v>30</v>
      </c>
      <c r="J229" s="3"/>
      <c r="K229" s="3" t="s">
        <v>547</v>
      </c>
      <c r="L229" s="3"/>
    </row>
    <row r="230" customFormat="false" ht="21.75" hidden="false" customHeight="true" outlineLevel="0" collapsed="false">
      <c r="A230" s="3" t="s">
        <v>548</v>
      </c>
      <c r="B230" s="3" t="s">
        <v>478</v>
      </c>
      <c r="C230" s="3" t="s">
        <v>479</v>
      </c>
      <c r="D230" s="3" t="s">
        <v>549</v>
      </c>
      <c r="E230" s="3" t="s">
        <v>16</v>
      </c>
      <c r="F230" s="6" t="s">
        <v>101</v>
      </c>
      <c r="G230" s="3" t="s">
        <v>29</v>
      </c>
      <c r="H230" s="3"/>
      <c r="I230" s="3" t="s">
        <v>30</v>
      </c>
      <c r="J230" s="3"/>
      <c r="K230" s="3" t="s">
        <v>550</v>
      </c>
      <c r="L230" s="3"/>
    </row>
    <row r="231" customFormat="false" ht="21.75" hidden="false" customHeight="true" outlineLevel="0" collapsed="false">
      <c r="A231" s="3" t="s">
        <v>551</v>
      </c>
      <c r="B231" s="3" t="s">
        <v>478</v>
      </c>
      <c r="C231" s="3" t="s">
        <v>479</v>
      </c>
      <c r="D231" s="3" t="s">
        <v>552</v>
      </c>
      <c r="E231" s="3" t="s">
        <v>16</v>
      </c>
      <c r="F231" s="6" t="s">
        <v>101</v>
      </c>
      <c r="G231" s="3" t="s">
        <v>29</v>
      </c>
      <c r="H231" s="3"/>
      <c r="I231" s="3" t="s">
        <v>30</v>
      </c>
      <c r="J231" s="3"/>
      <c r="K231" s="3" t="s">
        <v>476</v>
      </c>
      <c r="L231" s="3"/>
    </row>
    <row r="232" customFormat="false" ht="15" hidden="false" customHeight="true" outlineLevel="0" collapsed="false">
      <c r="A232" s="3" t="s">
        <v>553</v>
      </c>
      <c r="B232" s="3" t="s">
        <v>554</v>
      </c>
      <c r="C232" s="3" t="s">
        <v>555</v>
      </c>
      <c r="D232" s="3" t="s">
        <v>15</v>
      </c>
      <c r="E232" s="3" t="s">
        <v>16</v>
      </c>
      <c r="F232" s="4" t="s">
        <v>17</v>
      </c>
      <c r="G232" s="3" t="s">
        <v>18</v>
      </c>
      <c r="H232" s="3"/>
      <c r="I232" s="3" t="s">
        <v>18</v>
      </c>
      <c r="J232" s="3"/>
      <c r="K232" s="3" t="s">
        <v>556</v>
      </c>
      <c r="L232" s="3"/>
    </row>
    <row r="233" customFormat="false" ht="15" hidden="false" customHeight="true" outlineLevel="0" collapsed="false">
      <c r="A233" s="3" t="s">
        <v>557</v>
      </c>
      <c r="B233" s="3" t="s">
        <v>554</v>
      </c>
      <c r="C233" s="3" t="s">
        <v>555</v>
      </c>
      <c r="D233" s="3" t="s">
        <v>21</v>
      </c>
      <c r="E233" s="3" t="s">
        <v>16</v>
      </c>
      <c r="F233" s="4" t="s">
        <v>17</v>
      </c>
      <c r="G233" s="3" t="s">
        <v>29</v>
      </c>
      <c r="H233" s="3"/>
      <c r="I233" s="3" t="s">
        <v>30</v>
      </c>
      <c r="J233" s="3"/>
      <c r="K233" s="3" t="s">
        <v>558</v>
      </c>
      <c r="L233" s="3"/>
    </row>
    <row r="234" customFormat="false" ht="15" hidden="false" customHeight="true" outlineLevel="0" collapsed="false">
      <c r="A234" s="3" t="s">
        <v>559</v>
      </c>
      <c r="B234" s="3" t="s">
        <v>554</v>
      </c>
      <c r="C234" s="3" t="s">
        <v>555</v>
      </c>
      <c r="D234" s="3" t="s">
        <v>25</v>
      </c>
      <c r="E234" s="3" t="s">
        <v>16</v>
      </c>
      <c r="F234" s="4" t="s">
        <v>17</v>
      </c>
      <c r="G234" s="3" t="s">
        <v>29</v>
      </c>
      <c r="H234" s="3"/>
      <c r="I234" s="3" t="s">
        <v>30</v>
      </c>
      <c r="J234" s="3"/>
      <c r="K234" s="3" t="s">
        <v>560</v>
      </c>
      <c r="L234" s="3"/>
    </row>
    <row r="235" customFormat="false" ht="15" hidden="false" customHeight="true" outlineLevel="0" collapsed="false">
      <c r="A235" s="3" t="s">
        <v>561</v>
      </c>
      <c r="B235" s="3" t="s">
        <v>554</v>
      </c>
      <c r="C235" s="3" t="s">
        <v>555</v>
      </c>
      <c r="D235" s="3" t="s">
        <v>28</v>
      </c>
      <c r="E235" s="3" t="s">
        <v>16</v>
      </c>
      <c r="F235" s="4" t="s">
        <v>17</v>
      </c>
      <c r="G235" s="3" t="s">
        <v>29</v>
      </c>
      <c r="H235" s="3"/>
      <c r="I235" s="3" t="s">
        <v>30</v>
      </c>
      <c r="J235" s="3"/>
      <c r="K235" s="3" t="s">
        <v>331</v>
      </c>
      <c r="L235" s="3"/>
    </row>
    <row r="236" customFormat="false" ht="32.25" hidden="false" customHeight="true" outlineLevel="0" collapsed="false">
      <c r="A236" s="3" t="s">
        <v>562</v>
      </c>
      <c r="B236" s="3" t="s">
        <v>554</v>
      </c>
      <c r="C236" s="3" t="s">
        <v>555</v>
      </c>
      <c r="D236" s="3" t="s">
        <v>33</v>
      </c>
      <c r="E236" s="3" t="s">
        <v>16</v>
      </c>
      <c r="F236" s="4" t="s">
        <v>17</v>
      </c>
      <c r="G236" s="3" t="s">
        <v>29</v>
      </c>
      <c r="H236" s="3"/>
      <c r="I236" s="3" t="s">
        <v>30</v>
      </c>
      <c r="J236" s="3"/>
      <c r="K236" s="3" t="s">
        <v>563</v>
      </c>
      <c r="L236" s="3"/>
    </row>
    <row r="237" customFormat="false" ht="21.75" hidden="false" customHeight="true" outlineLevel="0" collapsed="false">
      <c r="A237" s="3" t="s">
        <v>564</v>
      </c>
      <c r="B237" s="3" t="s">
        <v>554</v>
      </c>
      <c r="C237" s="3" t="s">
        <v>555</v>
      </c>
      <c r="D237" s="3" t="s">
        <v>36</v>
      </c>
      <c r="E237" s="3" t="s">
        <v>16</v>
      </c>
      <c r="F237" s="4" t="s">
        <v>17</v>
      </c>
      <c r="G237" s="3" t="s">
        <v>29</v>
      </c>
      <c r="H237" s="3"/>
      <c r="I237" s="3" t="s">
        <v>30</v>
      </c>
      <c r="J237" s="5" t="s">
        <v>172</v>
      </c>
      <c r="K237" s="3" t="s">
        <v>565</v>
      </c>
      <c r="L237" s="3"/>
    </row>
    <row r="238" customFormat="false" ht="21.75" hidden="false" customHeight="true" outlineLevel="0" collapsed="false">
      <c r="A238" s="3" t="s">
        <v>566</v>
      </c>
      <c r="B238" s="3" t="s">
        <v>554</v>
      </c>
      <c r="C238" s="3" t="s">
        <v>555</v>
      </c>
      <c r="D238" s="3" t="s">
        <v>39</v>
      </c>
      <c r="E238" s="3" t="s">
        <v>16</v>
      </c>
      <c r="F238" s="4" t="s">
        <v>17</v>
      </c>
      <c r="G238" s="3" t="s">
        <v>29</v>
      </c>
      <c r="H238" s="3"/>
      <c r="I238" s="3" t="s">
        <v>30</v>
      </c>
      <c r="J238" s="3"/>
      <c r="K238" s="3" t="s">
        <v>567</v>
      </c>
      <c r="L238" s="3"/>
    </row>
    <row r="239" customFormat="false" ht="15" hidden="false" customHeight="true" outlineLevel="0" collapsed="false">
      <c r="A239" s="3" t="s">
        <v>568</v>
      </c>
      <c r="B239" s="3" t="s">
        <v>554</v>
      </c>
      <c r="C239" s="3" t="s">
        <v>555</v>
      </c>
      <c r="D239" s="3" t="s">
        <v>42</v>
      </c>
      <c r="E239" s="3" t="s">
        <v>16</v>
      </c>
      <c r="F239" s="4" t="s">
        <v>17</v>
      </c>
      <c r="G239" s="3" t="s">
        <v>29</v>
      </c>
      <c r="H239" s="3"/>
      <c r="I239" s="3" t="s">
        <v>30</v>
      </c>
      <c r="J239" s="3"/>
      <c r="K239" s="3" t="s">
        <v>569</v>
      </c>
      <c r="L239" s="3"/>
    </row>
    <row r="240" customFormat="false" ht="15" hidden="false" customHeight="true" outlineLevel="0" collapsed="false">
      <c r="A240" s="3" t="s">
        <v>570</v>
      </c>
      <c r="B240" s="3" t="s">
        <v>554</v>
      </c>
      <c r="C240" s="3" t="s">
        <v>555</v>
      </c>
      <c r="D240" s="3" t="s">
        <v>46</v>
      </c>
      <c r="E240" s="3" t="s">
        <v>16</v>
      </c>
      <c r="F240" s="4" t="s">
        <v>17</v>
      </c>
      <c r="G240" s="3" t="s">
        <v>29</v>
      </c>
      <c r="H240" s="3"/>
      <c r="I240" s="3" t="s">
        <v>30</v>
      </c>
      <c r="J240" s="3"/>
      <c r="K240" s="3" t="s">
        <v>571</v>
      </c>
      <c r="L240" s="3"/>
    </row>
    <row r="241" customFormat="false" ht="15" hidden="false" customHeight="true" outlineLevel="0" collapsed="false">
      <c r="A241" s="3" t="s">
        <v>572</v>
      </c>
      <c r="B241" s="3" t="s">
        <v>554</v>
      </c>
      <c r="C241" s="3" t="s">
        <v>555</v>
      </c>
      <c r="D241" s="3" t="s">
        <v>49</v>
      </c>
      <c r="E241" s="3" t="s">
        <v>16</v>
      </c>
      <c r="F241" s="4" t="s">
        <v>17</v>
      </c>
      <c r="G241" s="3" t="s">
        <v>29</v>
      </c>
      <c r="H241" s="3"/>
      <c r="I241" s="3" t="s">
        <v>30</v>
      </c>
      <c r="J241" s="3"/>
      <c r="K241" s="3" t="s">
        <v>573</v>
      </c>
      <c r="L241" s="3"/>
    </row>
    <row r="242" customFormat="false" ht="15" hidden="false" customHeight="true" outlineLevel="0" collapsed="false">
      <c r="A242" s="3" t="s">
        <v>574</v>
      </c>
      <c r="B242" s="3" t="s">
        <v>554</v>
      </c>
      <c r="C242" s="3" t="s">
        <v>555</v>
      </c>
      <c r="D242" s="3" t="s">
        <v>74</v>
      </c>
      <c r="E242" s="3" t="s">
        <v>75</v>
      </c>
      <c r="F242" s="4" t="s">
        <v>17</v>
      </c>
      <c r="G242" s="3" t="s">
        <v>29</v>
      </c>
      <c r="H242" s="3"/>
      <c r="I242" s="3" t="s">
        <v>30</v>
      </c>
      <c r="J242" s="3"/>
      <c r="K242" s="3" t="s">
        <v>270</v>
      </c>
      <c r="L242" s="3"/>
    </row>
    <row r="243" customFormat="false" ht="15" hidden="false" customHeight="true" outlineLevel="0" collapsed="false">
      <c r="A243" s="3" t="s">
        <v>575</v>
      </c>
      <c r="B243" s="3" t="s">
        <v>554</v>
      </c>
      <c r="C243" s="3" t="s">
        <v>555</v>
      </c>
      <c r="D243" s="3" t="s">
        <v>81</v>
      </c>
      <c r="E243" s="3" t="s">
        <v>75</v>
      </c>
      <c r="F243" s="4" t="s">
        <v>17</v>
      </c>
      <c r="G243" s="3" t="s">
        <v>29</v>
      </c>
      <c r="H243" s="3"/>
      <c r="I243" s="3" t="s">
        <v>30</v>
      </c>
      <c r="J243" s="3"/>
      <c r="K243" s="3" t="s">
        <v>441</v>
      </c>
      <c r="L243" s="3"/>
    </row>
    <row r="244" customFormat="false" ht="21.75" hidden="false" customHeight="true" outlineLevel="0" collapsed="false">
      <c r="A244" s="3" t="s">
        <v>576</v>
      </c>
      <c r="B244" s="3" t="s">
        <v>554</v>
      </c>
      <c r="C244" s="3" t="s">
        <v>555</v>
      </c>
      <c r="D244" s="3" t="s">
        <v>84</v>
      </c>
      <c r="E244" s="3" t="s">
        <v>75</v>
      </c>
      <c r="F244" s="4" t="s">
        <v>17</v>
      </c>
      <c r="G244" s="3" t="s">
        <v>29</v>
      </c>
      <c r="H244" s="3"/>
      <c r="I244" s="3" t="s">
        <v>30</v>
      </c>
      <c r="J244" s="3"/>
      <c r="K244" s="3" t="s">
        <v>577</v>
      </c>
      <c r="L244" s="3"/>
    </row>
    <row r="245" customFormat="false" ht="15" hidden="false" customHeight="true" outlineLevel="0" collapsed="false">
      <c r="A245" s="3" t="s">
        <v>578</v>
      </c>
      <c r="B245" s="3" t="s">
        <v>554</v>
      </c>
      <c r="C245" s="3" t="s">
        <v>555</v>
      </c>
      <c r="D245" s="3" t="s">
        <v>100</v>
      </c>
      <c r="E245" s="3" t="s">
        <v>16</v>
      </c>
      <c r="F245" s="6" t="s">
        <v>101</v>
      </c>
      <c r="G245" s="3" t="s">
        <v>29</v>
      </c>
      <c r="H245" s="3"/>
      <c r="I245" s="3" t="s">
        <v>30</v>
      </c>
      <c r="J245" s="3"/>
      <c r="K245" s="3" t="s">
        <v>102</v>
      </c>
      <c r="L245" s="3"/>
    </row>
    <row r="246" customFormat="false" ht="15" hidden="false" customHeight="true" outlineLevel="0" collapsed="false">
      <c r="A246" s="3" t="s">
        <v>579</v>
      </c>
      <c r="B246" s="3" t="s">
        <v>554</v>
      </c>
      <c r="C246" s="3" t="s">
        <v>555</v>
      </c>
      <c r="D246" s="3" t="s">
        <v>104</v>
      </c>
      <c r="E246" s="3" t="s">
        <v>16</v>
      </c>
      <c r="F246" s="6" t="s">
        <v>101</v>
      </c>
      <c r="G246" s="3" t="s">
        <v>29</v>
      </c>
      <c r="H246" s="3"/>
      <c r="I246" s="3" t="s">
        <v>30</v>
      </c>
      <c r="J246" s="3"/>
      <c r="K246" s="3" t="s">
        <v>580</v>
      </c>
      <c r="L246" s="3"/>
    </row>
    <row r="247" customFormat="false" ht="15" hidden="false" customHeight="true" outlineLevel="0" collapsed="false">
      <c r="A247" s="3" t="s">
        <v>581</v>
      </c>
      <c r="B247" s="3" t="s">
        <v>554</v>
      </c>
      <c r="C247" s="3" t="s">
        <v>555</v>
      </c>
      <c r="D247" s="3" t="s">
        <v>107</v>
      </c>
      <c r="E247" s="3" t="s">
        <v>16</v>
      </c>
      <c r="F247" s="6" t="s">
        <v>101</v>
      </c>
      <c r="G247" s="3" t="s">
        <v>29</v>
      </c>
      <c r="H247" s="3"/>
      <c r="I247" s="3" t="s">
        <v>30</v>
      </c>
      <c r="J247" s="3"/>
      <c r="K247" s="3" t="s">
        <v>582</v>
      </c>
      <c r="L247" s="3"/>
    </row>
    <row r="248" customFormat="false" ht="15" hidden="false" customHeight="true" outlineLevel="0" collapsed="false">
      <c r="A248" s="3" t="s">
        <v>583</v>
      </c>
      <c r="B248" s="3" t="s">
        <v>554</v>
      </c>
      <c r="C248" s="3" t="s">
        <v>555</v>
      </c>
      <c r="D248" s="3" t="s">
        <v>112</v>
      </c>
      <c r="E248" s="3" t="s">
        <v>16</v>
      </c>
      <c r="F248" s="6" t="s">
        <v>101</v>
      </c>
      <c r="G248" s="3" t="s">
        <v>29</v>
      </c>
      <c r="H248" s="3"/>
      <c r="I248" s="3" t="s">
        <v>30</v>
      </c>
      <c r="J248" s="3"/>
      <c r="K248" s="3" t="s">
        <v>499</v>
      </c>
      <c r="L248" s="3"/>
    </row>
    <row r="249" customFormat="false" ht="21.75" hidden="false" customHeight="true" outlineLevel="0" collapsed="false">
      <c r="A249" s="3" t="s">
        <v>584</v>
      </c>
      <c r="B249" s="3" t="s">
        <v>554</v>
      </c>
      <c r="C249" s="3" t="s">
        <v>555</v>
      </c>
      <c r="D249" s="3" t="s">
        <v>115</v>
      </c>
      <c r="E249" s="3" t="s">
        <v>16</v>
      </c>
      <c r="F249" s="6" t="s">
        <v>101</v>
      </c>
      <c r="G249" s="3" t="s">
        <v>29</v>
      </c>
      <c r="H249" s="3"/>
      <c r="I249" s="3" t="s">
        <v>30</v>
      </c>
      <c r="J249" s="3"/>
      <c r="K249" s="3" t="s">
        <v>585</v>
      </c>
      <c r="L249" s="3"/>
    </row>
    <row r="250" customFormat="false" ht="21.75" hidden="false" customHeight="true" outlineLevel="0" collapsed="false">
      <c r="A250" s="3" t="s">
        <v>586</v>
      </c>
      <c r="B250" s="3" t="s">
        <v>554</v>
      </c>
      <c r="C250" s="3" t="s">
        <v>555</v>
      </c>
      <c r="D250" s="3" t="s">
        <v>186</v>
      </c>
      <c r="E250" s="3" t="s">
        <v>16</v>
      </c>
      <c r="F250" s="6" t="s">
        <v>101</v>
      </c>
      <c r="G250" s="3" t="s">
        <v>29</v>
      </c>
      <c r="H250" s="3"/>
      <c r="I250" s="3" t="s">
        <v>30</v>
      </c>
      <c r="J250" s="3"/>
      <c r="K250" s="3" t="s">
        <v>587</v>
      </c>
      <c r="L250" s="3"/>
    </row>
    <row r="251" customFormat="false" ht="21.75" hidden="false" customHeight="true" outlineLevel="0" collapsed="false">
      <c r="A251" s="3" t="s">
        <v>588</v>
      </c>
      <c r="B251" s="3" t="s">
        <v>554</v>
      </c>
      <c r="C251" s="3" t="s">
        <v>555</v>
      </c>
      <c r="D251" s="3" t="s">
        <v>189</v>
      </c>
      <c r="E251" s="3" t="s">
        <v>16</v>
      </c>
      <c r="F251" s="6" t="s">
        <v>101</v>
      </c>
      <c r="G251" s="3" t="s">
        <v>29</v>
      </c>
      <c r="H251" s="3"/>
      <c r="I251" s="3" t="s">
        <v>30</v>
      </c>
      <c r="J251" s="3"/>
      <c r="K251" s="3" t="s">
        <v>589</v>
      </c>
      <c r="L251" s="3"/>
    </row>
    <row r="252" customFormat="false" ht="15" hidden="false" customHeight="true" outlineLevel="0" collapsed="false">
      <c r="A252" s="3" t="s">
        <v>590</v>
      </c>
      <c r="B252" s="3" t="s">
        <v>554</v>
      </c>
      <c r="C252" s="3" t="s">
        <v>555</v>
      </c>
      <c r="D252" s="3" t="s">
        <v>191</v>
      </c>
      <c r="E252" s="3" t="s">
        <v>16</v>
      </c>
      <c r="F252" s="6" t="s">
        <v>101</v>
      </c>
      <c r="G252" s="3" t="s">
        <v>29</v>
      </c>
      <c r="H252" s="3"/>
      <c r="I252" s="3" t="s">
        <v>30</v>
      </c>
      <c r="J252" s="3"/>
      <c r="K252" s="3" t="s">
        <v>591</v>
      </c>
      <c r="L252" s="3"/>
    </row>
    <row r="253" customFormat="false" ht="15" hidden="false" customHeight="true" outlineLevel="0" collapsed="false">
      <c r="A253" s="3" t="s">
        <v>592</v>
      </c>
      <c r="B253" s="3" t="s">
        <v>554</v>
      </c>
      <c r="C253" s="3" t="s">
        <v>555</v>
      </c>
      <c r="D253" s="3" t="s">
        <v>193</v>
      </c>
      <c r="E253" s="3" t="s">
        <v>16</v>
      </c>
      <c r="F253" s="6" t="s">
        <v>101</v>
      </c>
      <c r="G253" s="3" t="s">
        <v>29</v>
      </c>
      <c r="H253" s="3"/>
      <c r="I253" s="3" t="s">
        <v>30</v>
      </c>
      <c r="J253" s="3"/>
      <c r="K253" s="3" t="s">
        <v>272</v>
      </c>
      <c r="L253" s="3"/>
    </row>
    <row r="254" customFormat="false" ht="15" hidden="false" customHeight="true" outlineLevel="0" collapsed="false">
      <c r="A254" s="3" t="s">
        <v>593</v>
      </c>
      <c r="B254" s="3" t="s">
        <v>594</v>
      </c>
      <c r="C254" s="3" t="s">
        <v>595</v>
      </c>
      <c r="D254" s="3" t="s">
        <v>15</v>
      </c>
      <c r="E254" s="3" t="s">
        <v>16</v>
      </c>
      <c r="F254" s="4" t="s">
        <v>17</v>
      </c>
      <c r="G254" s="3" t="s">
        <v>18</v>
      </c>
      <c r="H254" s="3"/>
      <c r="I254" s="3" t="s">
        <v>18</v>
      </c>
      <c r="J254" s="3"/>
      <c r="K254" s="3" t="s">
        <v>596</v>
      </c>
      <c r="L254" s="3"/>
    </row>
    <row r="255" customFormat="false" ht="15" hidden="false" customHeight="true" outlineLevel="0" collapsed="false">
      <c r="A255" s="3" t="s">
        <v>597</v>
      </c>
      <c r="B255" s="3" t="s">
        <v>594</v>
      </c>
      <c r="C255" s="3" t="s">
        <v>595</v>
      </c>
      <c r="D255" s="3" t="s">
        <v>21</v>
      </c>
      <c r="E255" s="3" t="s">
        <v>16</v>
      </c>
      <c r="F255" s="4" t="s">
        <v>17</v>
      </c>
      <c r="G255" s="3" t="s">
        <v>18</v>
      </c>
      <c r="H255" s="3"/>
      <c r="I255" s="3" t="s">
        <v>18</v>
      </c>
      <c r="J255" s="3"/>
      <c r="K255" s="3" t="s">
        <v>598</v>
      </c>
      <c r="L255" s="3"/>
    </row>
    <row r="256" customFormat="false" ht="15" hidden="false" customHeight="true" outlineLevel="0" collapsed="false">
      <c r="A256" s="3" t="s">
        <v>599</v>
      </c>
      <c r="B256" s="3" t="s">
        <v>594</v>
      </c>
      <c r="C256" s="3" t="s">
        <v>595</v>
      </c>
      <c r="D256" s="3" t="s">
        <v>25</v>
      </c>
      <c r="E256" s="3" t="s">
        <v>16</v>
      </c>
      <c r="F256" s="4" t="s">
        <v>17</v>
      </c>
      <c r="G256" s="3" t="s">
        <v>29</v>
      </c>
      <c r="H256" s="3"/>
      <c r="I256" s="3" t="s">
        <v>30</v>
      </c>
      <c r="J256" s="3"/>
      <c r="K256" s="3" t="s">
        <v>600</v>
      </c>
      <c r="L256" s="3"/>
    </row>
    <row r="257" customFormat="false" ht="15" hidden="false" customHeight="true" outlineLevel="0" collapsed="false">
      <c r="A257" s="3" t="s">
        <v>601</v>
      </c>
      <c r="B257" s="3" t="s">
        <v>594</v>
      </c>
      <c r="C257" s="3" t="s">
        <v>595</v>
      </c>
      <c r="D257" s="3" t="s">
        <v>28</v>
      </c>
      <c r="E257" s="3" t="s">
        <v>16</v>
      </c>
      <c r="F257" s="4" t="s">
        <v>17</v>
      </c>
      <c r="G257" s="3" t="s">
        <v>29</v>
      </c>
      <c r="H257" s="3"/>
      <c r="I257" s="3" t="s">
        <v>30</v>
      </c>
      <c r="J257" s="3"/>
      <c r="K257" s="3" t="s">
        <v>602</v>
      </c>
      <c r="L257" s="3"/>
    </row>
    <row r="258" customFormat="false" ht="15" hidden="false" customHeight="true" outlineLevel="0" collapsed="false">
      <c r="A258" s="3" t="s">
        <v>603</v>
      </c>
      <c r="B258" s="3" t="s">
        <v>594</v>
      </c>
      <c r="C258" s="3" t="s">
        <v>595</v>
      </c>
      <c r="D258" s="3" t="s">
        <v>33</v>
      </c>
      <c r="E258" s="3" t="s">
        <v>16</v>
      </c>
      <c r="F258" s="4" t="s">
        <v>17</v>
      </c>
      <c r="G258" s="3" t="s">
        <v>29</v>
      </c>
      <c r="H258" s="3"/>
      <c r="I258" s="3" t="s">
        <v>30</v>
      </c>
      <c r="J258" s="3"/>
      <c r="K258" s="3" t="s">
        <v>604</v>
      </c>
      <c r="L258" s="3"/>
    </row>
    <row r="259" customFormat="false" ht="15" hidden="false" customHeight="true" outlineLevel="0" collapsed="false">
      <c r="A259" s="3" t="s">
        <v>605</v>
      </c>
      <c r="B259" s="3" t="s">
        <v>594</v>
      </c>
      <c r="C259" s="3" t="s">
        <v>595</v>
      </c>
      <c r="D259" s="3" t="s">
        <v>36</v>
      </c>
      <c r="E259" s="3" t="s">
        <v>16</v>
      </c>
      <c r="F259" s="4" t="s">
        <v>17</v>
      </c>
      <c r="G259" s="3" t="s">
        <v>29</v>
      </c>
      <c r="H259" s="3"/>
      <c r="I259" s="3" t="s">
        <v>30</v>
      </c>
      <c r="J259" s="3"/>
      <c r="K259" s="3" t="s">
        <v>606</v>
      </c>
      <c r="L259" s="3"/>
    </row>
    <row r="260" customFormat="false" ht="15" hidden="false" customHeight="true" outlineLevel="0" collapsed="false">
      <c r="A260" s="3" t="s">
        <v>607</v>
      </c>
      <c r="B260" s="3" t="s">
        <v>594</v>
      </c>
      <c r="C260" s="3" t="s">
        <v>595</v>
      </c>
      <c r="D260" s="3" t="s">
        <v>39</v>
      </c>
      <c r="E260" s="3" t="s">
        <v>16</v>
      </c>
      <c r="F260" s="4" t="s">
        <v>17</v>
      </c>
      <c r="G260" s="3" t="s">
        <v>29</v>
      </c>
      <c r="H260" s="3"/>
      <c r="I260" s="3" t="s">
        <v>30</v>
      </c>
      <c r="J260" s="3"/>
      <c r="K260" s="3" t="s">
        <v>499</v>
      </c>
      <c r="L260" s="3"/>
    </row>
    <row r="261" customFormat="false" ht="15" hidden="false" customHeight="true" outlineLevel="0" collapsed="false">
      <c r="A261" s="3" t="s">
        <v>608</v>
      </c>
      <c r="B261" s="3" t="s">
        <v>594</v>
      </c>
      <c r="C261" s="3" t="s">
        <v>595</v>
      </c>
      <c r="D261" s="3" t="s">
        <v>42</v>
      </c>
      <c r="E261" s="3" t="s">
        <v>16</v>
      </c>
      <c r="F261" s="4" t="s">
        <v>17</v>
      </c>
      <c r="G261" s="3" t="s">
        <v>29</v>
      </c>
      <c r="H261" s="3"/>
      <c r="I261" s="3" t="s">
        <v>30</v>
      </c>
      <c r="J261" s="3"/>
      <c r="K261" s="3" t="s">
        <v>331</v>
      </c>
      <c r="L261" s="3"/>
    </row>
    <row r="262" customFormat="false" ht="21.75" hidden="false" customHeight="true" outlineLevel="0" collapsed="false">
      <c r="A262" s="3" t="s">
        <v>609</v>
      </c>
      <c r="B262" s="3" t="s">
        <v>594</v>
      </c>
      <c r="C262" s="3" t="s">
        <v>595</v>
      </c>
      <c r="D262" s="3" t="s">
        <v>46</v>
      </c>
      <c r="E262" s="3" t="s">
        <v>16</v>
      </c>
      <c r="F262" s="4" t="s">
        <v>17</v>
      </c>
      <c r="G262" s="3" t="s">
        <v>29</v>
      </c>
      <c r="H262" s="3"/>
      <c r="I262" s="3" t="s">
        <v>30</v>
      </c>
      <c r="J262" s="3"/>
      <c r="K262" s="3" t="s">
        <v>610</v>
      </c>
      <c r="L262" s="3"/>
    </row>
    <row r="263" customFormat="false" ht="15" hidden="false" customHeight="true" outlineLevel="0" collapsed="false">
      <c r="A263" s="3" t="s">
        <v>611</v>
      </c>
      <c r="B263" s="3" t="s">
        <v>594</v>
      </c>
      <c r="C263" s="3" t="s">
        <v>595</v>
      </c>
      <c r="D263" s="3" t="s">
        <v>49</v>
      </c>
      <c r="E263" s="3" t="s">
        <v>16</v>
      </c>
      <c r="F263" s="4" t="s">
        <v>17</v>
      </c>
      <c r="G263" s="3" t="s">
        <v>29</v>
      </c>
      <c r="H263" s="3"/>
      <c r="I263" s="3" t="s">
        <v>30</v>
      </c>
      <c r="J263" s="3"/>
      <c r="K263" s="3" t="s">
        <v>612</v>
      </c>
      <c r="L263" s="3"/>
    </row>
    <row r="264" customFormat="false" ht="15" hidden="false" customHeight="true" outlineLevel="0" collapsed="false">
      <c r="A264" s="3" t="s">
        <v>613</v>
      </c>
      <c r="B264" s="3" t="s">
        <v>594</v>
      </c>
      <c r="C264" s="3" t="s">
        <v>595</v>
      </c>
      <c r="D264" s="3" t="s">
        <v>52</v>
      </c>
      <c r="E264" s="3" t="s">
        <v>16</v>
      </c>
      <c r="F264" s="4" t="s">
        <v>17</v>
      </c>
      <c r="G264" s="3" t="s">
        <v>29</v>
      </c>
      <c r="H264" s="3"/>
      <c r="I264" s="3" t="s">
        <v>30</v>
      </c>
      <c r="J264" s="3"/>
      <c r="K264" s="3" t="s">
        <v>614</v>
      </c>
      <c r="L264" s="3"/>
    </row>
    <row r="265" customFormat="false" ht="21.75" hidden="false" customHeight="true" outlineLevel="0" collapsed="false">
      <c r="A265" s="3" t="s">
        <v>615</v>
      </c>
      <c r="B265" s="3" t="s">
        <v>594</v>
      </c>
      <c r="C265" s="3" t="s">
        <v>595</v>
      </c>
      <c r="D265" s="3" t="s">
        <v>55</v>
      </c>
      <c r="E265" s="3" t="s">
        <v>16</v>
      </c>
      <c r="F265" s="4" t="s">
        <v>17</v>
      </c>
      <c r="G265" s="3" t="s">
        <v>29</v>
      </c>
      <c r="H265" s="3"/>
      <c r="I265" s="3" t="s">
        <v>30</v>
      </c>
      <c r="J265" s="5" t="s">
        <v>172</v>
      </c>
      <c r="K265" s="3" t="s">
        <v>616</v>
      </c>
      <c r="L265" s="3"/>
    </row>
    <row r="266" customFormat="false" ht="21.75" hidden="false" customHeight="true" outlineLevel="0" collapsed="false">
      <c r="A266" s="3" t="s">
        <v>617</v>
      </c>
      <c r="B266" s="3" t="s">
        <v>594</v>
      </c>
      <c r="C266" s="3" t="s">
        <v>595</v>
      </c>
      <c r="D266" s="3" t="s">
        <v>58</v>
      </c>
      <c r="E266" s="3" t="s">
        <v>16</v>
      </c>
      <c r="F266" s="4" t="s">
        <v>17</v>
      </c>
      <c r="G266" s="3" t="s">
        <v>29</v>
      </c>
      <c r="H266" s="3"/>
      <c r="I266" s="3" t="s">
        <v>30</v>
      </c>
      <c r="J266" s="3"/>
      <c r="K266" s="3" t="s">
        <v>618</v>
      </c>
      <c r="L266" s="3"/>
    </row>
    <row r="267" customFormat="false" ht="21.75" hidden="false" customHeight="true" outlineLevel="0" collapsed="false">
      <c r="A267" s="3" t="s">
        <v>619</v>
      </c>
      <c r="B267" s="3" t="s">
        <v>594</v>
      </c>
      <c r="C267" s="3" t="s">
        <v>595</v>
      </c>
      <c r="D267" s="3" t="s">
        <v>61</v>
      </c>
      <c r="E267" s="3" t="s">
        <v>16</v>
      </c>
      <c r="F267" s="4" t="s">
        <v>17</v>
      </c>
      <c r="G267" s="3" t="s">
        <v>29</v>
      </c>
      <c r="H267" s="3"/>
      <c r="I267" s="3" t="s">
        <v>30</v>
      </c>
      <c r="J267" s="5" t="s">
        <v>620</v>
      </c>
      <c r="K267" s="3" t="s">
        <v>621</v>
      </c>
      <c r="L267" s="3"/>
    </row>
    <row r="268" customFormat="false" ht="15" hidden="false" customHeight="true" outlineLevel="0" collapsed="false">
      <c r="A268" s="3" t="s">
        <v>622</v>
      </c>
      <c r="B268" s="3" t="s">
        <v>594</v>
      </c>
      <c r="C268" s="3" t="s">
        <v>595</v>
      </c>
      <c r="D268" s="3" t="s">
        <v>74</v>
      </c>
      <c r="E268" s="3" t="s">
        <v>75</v>
      </c>
      <c r="F268" s="4" t="s">
        <v>17</v>
      </c>
      <c r="G268" s="3" t="s">
        <v>29</v>
      </c>
      <c r="H268" s="3"/>
      <c r="I268" s="3" t="s">
        <v>30</v>
      </c>
      <c r="J268" s="5" t="s">
        <v>265</v>
      </c>
      <c r="K268" s="3" t="s">
        <v>266</v>
      </c>
      <c r="L268" s="3"/>
    </row>
    <row r="269" customFormat="false" ht="15" hidden="false" customHeight="true" outlineLevel="0" collapsed="false">
      <c r="A269" s="3" t="s">
        <v>623</v>
      </c>
      <c r="B269" s="3" t="s">
        <v>594</v>
      </c>
      <c r="C269" s="3" t="s">
        <v>595</v>
      </c>
      <c r="D269" s="3" t="s">
        <v>81</v>
      </c>
      <c r="E269" s="3" t="s">
        <v>75</v>
      </c>
      <c r="F269" s="4" t="s">
        <v>17</v>
      </c>
      <c r="G269" s="3" t="s">
        <v>29</v>
      </c>
      <c r="H269" s="3"/>
      <c r="I269" s="3" t="s">
        <v>30</v>
      </c>
      <c r="J269" s="3"/>
      <c r="K269" s="3" t="s">
        <v>270</v>
      </c>
      <c r="L269" s="3"/>
    </row>
    <row r="270" customFormat="false" ht="15" hidden="false" customHeight="true" outlineLevel="0" collapsed="false">
      <c r="A270" s="3" t="s">
        <v>624</v>
      </c>
      <c r="B270" s="3" t="s">
        <v>594</v>
      </c>
      <c r="C270" s="3" t="s">
        <v>595</v>
      </c>
      <c r="D270" s="3" t="s">
        <v>100</v>
      </c>
      <c r="E270" s="3" t="s">
        <v>16</v>
      </c>
      <c r="F270" s="6" t="s">
        <v>101</v>
      </c>
      <c r="G270" s="3" t="s">
        <v>29</v>
      </c>
      <c r="H270" s="3"/>
      <c r="I270" s="3" t="s">
        <v>30</v>
      </c>
      <c r="J270" s="3"/>
      <c r="K270" s="3" t="s">
        <v>102</v>
      </c>
      <c r="L270" s="3"/>
    </row>
    <row r="271" customFormat="false" ht="15" hidden="false" customHeight="true" outlineLevel="0" collapsed="false">
      <c r="A271" s="3" t="s">
        <v>625</v>
      </c>
      <c r="B271" s="3" t="s">
        <v>594</v>
      </c>
      <c r="C271" s="3" t="s">
        <v>595</v>
      </c>
      <c r="D271" s="3" t="s">
        <v>104</v>
      </c>
      <c r="E271" s="3" t="s">
        <v>75</v>
      </c>
      <c r="F271" s="6" t="s">
        <v>101</v>
      </c>
      <c r="G271" s="3" t="s">
        <v>29</v>
      </c>
      <c r="H271" s="3"/>
      <c r="I271" s="3" t="s">
        <v>30</v>
      </c>
      <c r="J271" s="3"/>
      <c r="K271" s="3" t="s">
        <v>476</v>
      </c>
      <c r="L271" s="3"/>
    </row>
    <row r="272" customFormat="false" ht="15" hidden="false" customHeight="true" outlineLevel="0" collapsed="false">
      <c r="A272" s="3" t="s">
        <v>626</v>
      </c>
      <c r="B272" s="3" t="s">
        <v>627</v>
      </c>
      <c r="C272" s="3" t="s">
        <v>628</v>
      </c>
      <c r="D272" s="3" t="s">
        <v>15</v>
      </c>
      <c r="E272" s="3" t="s">
        <v>16</v>
      </c>
      <c r="F272" s="4" t="s">
        <v>17</v>
      </c>
      <c r="G272" s="3" t="s">
        <v>29</v>
      </c>
      <c r="H272" s="3"/>
      <c r="I272" s="3" t="s">
        <v>30</v>
      </c>
      <c r="J272" s="3"/>
      <c r="K272" s="3" t="s">
        <v>629</v>
      </c>
      <c r="L272" s="3"/>
    </row>
    <row r="273" customFormat="false" ht="15" hidden="false" customHeight="true" outlineLevel="0" collapsed="false">
      <c r="A273" s="3" t="s">
        <v>630</v>
      </c>
      <c r="B273" s="3" t="s">
        <v>627</v>
      </c>
      <c r="C273" s="3" t="s">
        <v>628</v>
      </c>
      <c r="D273" s="3" t="s">
        <v>21</v>
      </c>
      <c r="E273" s="3" t="s">
        <v>16</v>
      </c>
      <c r="F273" s="4" t="s">
        <v>17</v>
      </c>
      <c r="G273" s="3" t="s">
        <v>29</v>
      </c>
      <c r="H273" s="3"/>
      <c r="I273" s="3" t="s">
        <v>30</v>
      </c>
      <c r="J273" s="3"/>
      <c r="K273" s="3" t="s">
        <v>631</v>
      </c>
      <c r="L273" s="3"/>
    </row>
    <row r="274" customFormat="false" ht="15" hidden="false" customHeight="true" outlineLevel="0" collapsed="false">
      <c r="A274" s="3" t="s">
        <v>632</v>
      </c>
      <c r="B274" s="3" t="s">
        <v>627</v>
      </c>
      <c r="C274" s="3" t="s">
        <v>628</v>
      </c>
      <c r="D274" s="3" t="s">
        <v>25</v>
      </c>
      <c r="E274" s="3" t="s">
        <v>16</v>
      </c>
      <c r="F274" s="4" t="s">
        <v>17</v>
      </c>
      <c r="G274" s="3" t="s">
        <v>29</v>
      </c>
      <c r="H274" s="3"/>
      <c r="I274" s="3" t="s">
        <v>30</v>
      </c>
      <c r="J274" s="3"/>
      <c r="K274" s="3" t="s">
        <v>499</v>
      </c>
      <c r="L274" s="3"/>
    </row>
    <row r="275" customFormat="false" ht="15" hidden="false" customHeight="true" outlineLevel="0" collapsed="false">
      <c r="A275" s="3" t="s">
        <v>633</v>
      </c>
      <c r="B275" s="3" t="s">
        <v>627</v>
      </c>
      <c r="C275" s="3" t="s">
        <v>628</v>
      </c>
      <c r="D275" s="3" t="s">
        <v>28</v>
      </c>
      <c r="E275" s="3" t="s">
        <v>16</v>
      </c>
      <c r="F275" s="4" t="s">
        <v>17</v>
      </c>
      <c r="G275" s="3" t="s">
        <v>29</v>
      </c>
      <c r="H275" s="3"/>
      <c r="I275" s="3" t="s">
        <v>30</v>
      </c>
      <c r="J275" s="3"/>
      <c r="K275" s="3" t="s">
        <v>331</v>
      </c>
      <c r="L275" s="3"/>
    </row>
    <row r="276" customFormat="false" ht="15" hidden="false" customHeight="true" outlineLevel="0" collapsed="false">
      <c r="A276" s="3" t="s">
        <v>634</v>
      </c>
      <c r="B276" s="3" t="s">
        <v>627</v>
      </c>
      <c r="C276" s="3" t="s">
        <v>628</v>
      </c>
      <c r="D276" s="3" t="s">
        <v>33</v>
      </c>
      <c r="E276" s="3" t="s">
        <v>16</v>
      </c>
      <c r="F276" s="4" t="s">
        <v>17</v>
      </c>
      <c r="G276" s="3" t="s">
        <v>29</v>
      </c>
      <c r="H276" s="3"/>
      <c r="I276" s="3" t="s">
        <v>30</v>
      </c>
      <c r="J276" s="3"/>
      <c r="K276" s="3" t="s">
        <v>614</v>
      </c>
      <c r="L276" s="3"/>
    </row>
    <row r="277" customFormat="false" ht="21.75" hidden="false" customHeight="true" outlineLevel="0" collapsed="false">
      <c r="A277" s="3" t="s">
        <v>635</v>
      </c>
      <c r="B277" s="3" t="s">
        <v>627</v>
      </c>
      <c r="C277" s="3" t="s">
        <v>628</v>
      </c>
      <c r="D277" s="3" t="s">
        <v>36</v>
      </c>
      <c r="E277" s="3" t="s">
        <v>16</v>
      </c>
      <c r="F277" s="4" t="s">
        <v>17</v>
      </c>
      <c r="G277" s="3" t="s">
        <v>29</v>
      </c>
      <c r="H277" s="3"/>
      <c r="I277" s="3" t="s">
        <v>30</v>
      </c>
      <c r="J277" s="3"/>
      <c r="K277" s="3" t="s">
        <v>610</v>
      </c>
      <c r="L277" s="3"/>
    </row>
    <row r="278" customFormat="false" ht="21.75" hidden="false" customHeight="true" outlineLevel="0" collapsed="false">
      <c r="A278" s="3" t="s">
        <v>636</v>
      </c>
      <c r="B278" s="3" t="s">
        <v>627</v>
      </c>
      <c r="C278" s="3" t="s">
        <v>628</v>
      </c>
      <c r="D278" s="3" t="s">
        <v>39</v>
      </c>
      <c r="E278" s="3" t="s">
        <v>16</v>
      </c>
      <c r="F278" s="4" t="s">
        <v>17</v>
      </c>
      <c r="G278" s="3" t="s">
        <v>29</v>
      </c>
      <c r="H278" s="3"/>
      <c r="I278" s="3" t="s">
        <v>30</v>
      </c>
      <c r="J278" s="3"/>
      <c r="K278" s="3" t="s">
        <v>618</v>
      </c>
      <c r="L278" s="3"/>
    </row>
    <row r="279" customFormat="false" ht="15" hidden="false" customHeight="true" outlineLevel="0" collapsed="false">
      <c r="A279" s="3" t="s">
        <v>637</v>
      </c>
      <c r="B279" s="3" t="s">
        <v>627</v>
      </c>
      <c r="C279" s="3" t="s">
        <v>628</v>
      </c>
      <c r="D279" s="3" t="s">
        <v>42</v>
      </c>
      <c r="E279" s="3" t="s">
        <v>16</v>
      </c>
      <c r="F279" s="4" t="s">
        <v>17</v>
      </c>
      <c r="G279" s="3" t="s">
        <v>29</v>
      </c>
      <c r="H279" s="3"/>
      <c r="I279" s="3" t="s">
        <v>30</v>
      </c>
      <c r="J279" s="3"/>
      <c r="K279" s="3" t="s">
        <v>638</v>
      </c>
      <c r="L279" s="3"/>
    </row>
    <row r="280" customFormat="false" ht="15" hidden="false" customHeight="true" outlineLevel="0" collapsed="false">
      <c r="A280" s="3" t="s">
        <v>639</v>
      </c>
      <c r="B280" s="3" t="s">
        <v>627</v>
      </c>
      <c r="C280" s="3" t="s">
        <v>628</v>
      </c>
      <c r="D280" s="3" t="s">
        <v>46</v>
      </c>
      <c r="E280" s="3" t="s">
        <v>16</v>
      </c>
      <c r="F280" s="4" t="s">
        <v>17</v>
      </c>
      <c r="G280" s="3" t="s">
        <v>29</v>
      </c>
      <c r="H280" s="3"/>
      <c r="I280" s="3" t="s">
        <v>30</v>
      </c>
      <c r="J280" s="3"/>
      <c r="K280" s="3" t="s">
        <v>640</v>
      </c>
      <c r="L280" s="3"/>
    </row>
    <row r="281" customFormat="false" ht="15" hidden="false" customHeight="true" outlineLevel="0" collapsed="false">
      <c r="A281" s="3" t="s">
        <v>641</v>
      </c>
      <c r="B281" s="3" t="s">
        <v>627</v>
      </c>
      <c r="C281" s="3" t="s">
        <v>628</v>
      </c>
      <c r="D281" s="3" t="s">
        <v>74</v>
      </c>
      <c r="E281" s="3" t="s">
        <v>75</v>
      </c>
      <c r="F281" s="4" t="s">
        <v>17</v>
      </c>
      <c r="G281" s="3" t="s">
        <v>29</v>
      </c>
      <c r="H281" s="3"/>
      <c r="I281" s="3" t="s">
        <v>30</v>
      </c>
      <c r="J281" s="5" t="s">
        <v>265</v>
      </c>
      <c r="K281" s="3" t="s">
        <v>266</v>
      </c>
      <c r="L281" s="3"/>
    </row>
    <row r="282" customFormat="false" ht="15" hidden="false" customHeight="true" outlineLevel="0" collapsed="false">
      <c r="A282" s="3" t="s">
        <v>642</v>
      </c>
      <c r="B282" s="3" t="s">
        <v>627</v>
      </c>
      <c r="C282" s="3" t="s">
        <v>628</v>
      </c>
      <c r="D282" s="3" t="s">
        <v>81</v>
      </c>
      <c r="E282" s="3" t="s">
        <v>75</v>
      </c>
      <c r="F282" s="4" t="s">
        <v>17</v>
      </c>
      <c r="G282" s="3" t="s">
        <v>29</v>
      </c>
      <c r="H282" s="3"/>
      <c r="I282" s="3" t="s">
        <v>30</v>
      </c>
      <c r="J282" s="3"/>
      <c r="K282" s="3" t="s">
        <v>643</v>
      </c>
      <c r="L282" s="3"/>
    </row>
    <row r="283" customFormat="false" ht="15" hidden="false" customHeight="true" outlineLevel="0" collapsed="false">
      <c r="A283" s="3" t="s">
        <v>644</v>
      </c>
      <c r="B283" s="3" t="s">
        <v>627</v>
      </c>
      <c r="C283" s="3" t="s">
        <v>628</v>
      </c>
      <c r="D283" s="3" t="s">
        <v>84</v>
      </c>
      <c r="E283" s="3" t="s">
        <v>75</v>
      </c>
      <c r="F283" s="4" t="s">
        <v>17</v>
      </c>
      <c r="G283" s="3" t="s">
        <v>29</v>
      </c>
      <c r="H283" s="3"/>
      <c r="I283" s="3" t="s">
        <v>30</v>
      </c>
      <c r="J283" s="3"/>
      <c r="K283" s="3" t="s">
        <v>270</v>
      </c>
      <c r="L283" s="3"/>
    </row>
    <row r="284" customFormat="false" ht="15" hidden="false" customHeight="true" outlineLevel="0" collapsed="false">
      <c r="A284" s="3" t="s">
        <v>645</v>
      </c>
      <c r="B284" s="3" t="s">
        <v>627</v>
      </c>
      <c r="C284" s="3" t="s">
        <v>628</v>
      </c>
      <c r="D284" s="3" t="s">
        <v>87</v>
      </c>
      <c r="E284" s="3" t="s">
        <v>75</v>
      </c>
      <c r="F284" s="4" t="s">
        <v>17</v>
      </c>
      <c r="G284" s="3" t="s">
        <v>29</v>
      </c>
      <c r="H284" s="3"/>
      <c r="I284" s="3" t="s">
        <v>30</v>
      </c>
      <c r="J284" s="3"/>
      <c r="K284" s="3" t="s">
        <v>646</v>
      </c>
      <c r="L284" s="3"/>
    </row>
    <row r="285" customFormat="false" ht="15" hidden="false" customHeight="true" outlineLevel="0" collapsed="false">
      <c r="A285" s="3" t="s">
        <v>647</v>
      </c>
      <c r="B285" s="3" t="s">
        <v>627</v>
      </c>
      <c r="C285" s="3" t="s">
        <v>628</v>
      </c>
      <c r="D285" s="3" t="s">
        <v>100</v>
      </c>
      <c r="E285" s="3" t="s">
        <v>16</v>
      </c>
      <c r="F285" s="6" t="s">
        <v>101</v>
      </c>
      <c r="G285" s="3" t="s">
        <v>29</v>
      </c>
      <c r="H285" s="3"/>
      <c r="I285" s="3" t="s">
        <v>30</v>
      </c>
      <c r="J285" s="3"/>
      <c r="K285" s="3" t="s">
        <v>102</v>
      </c>
      <c r="L285" s="3"/>
    </row>
    <row r="286" customFormat="false" ht="15" hidden="false" customHeight="true" outlineLevel="0" collapsed="false">
      <c r="A286" s="3" t="s">
        <v>648</v>
      </c>
      <c r="B286" s="3" t="s">
        <v>627</v>
      </c>
      <c r="C286" s="3" t="s">
        <v>628</v>
      </c>
      <c r="D286" s="3" t="s">
        <v>104</v>
      </c>
      <c r="E286" s="3" t="s">
        <v>75</v>
      </c>
      <c r="F286" s="6" t="s">
        <v>101</v>
      </c>
      <c r="G286" s="3" t="s">
        <v>29</v>
      </c>
      <c r="H286" s="3"/>
      <c r="I286" s="3" t="s">
        <v>30</v>
      </c>
      <c r="J286" s="3"/>
      <c r="K286" s="3" t="s">
        <v>272</v>
      </c>
      <c r="L286" s="3"/>
    </row>
  </sheetData>
  <autoFilter ref="A1:L2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3"/>
    <col collapsed="false" customWidth="true" hidden="false" outlineLevel="0" max="4" min="4" style="1" width="14"/>
    <col collapsed="false" customWidth="true" hidden="false" outlineLevel="0" max="5" min="5" style="1" width="9"/>
    <col collapsed="false" customWidth="true" hidden="false" outlineLevel="0" max="7" min="6" style="1" width="26"/>
    <col collapsed="false" customWidth="true" hidden="false" outlineLevel="0" max="8" min="8" style="1" width="22"/>
    <col collapsed="false" customWidth="true" hidden="false" outlineLevel="0" max="9" min="9" style="0" width="24"/>
  </cols>
  <sheetData>
    <row r="1" customFormat="false" ht="30" hidden="false" customHeight="true" outlineLevel="0" collapsed="false">
      <c r="A1" s="9" t="s">
        <v>1</v>
      </c>
      <c r="B1" s="9" t="s">
        <v>2</v>
      </c>
      <c r="C1" s="9" t="s">
        <v>649</v>
      </c>
      <c r="D1" s="9" t="s">
        <v>650</v>
      </c>
      <c r="E1" s="9" t="s">
        <v>651</v>
      </c>
      <c r="F1" s="9" t="s">
        <v>652</v>
      </c>
      <c r="G1" s="9" t="s">
        <v>653</v>
      </c>
      <c r="H1" s="9" t="s">
        <v>654</v>
      </c>
      <c r="I1" s="9" t="s">
        <v>655</v>
      </c>
    </row>
    <row r="2" customFormat="false" ht="15" hidden="false" customHeight="true" outlineLevel="0" collapsed="false">
      <c r="A2" s="10" t="s">
        <v>13</v>
      </c>
      <c r="B2" s="10" t="s">
        <v>14</v>
      </c>
      <c r="C2" s="10" t="n">
        <f aca="false">COUNTIFS(Criterios!$B$2:$B$286,A2,Criterios!$F$2:$F$286,"Obrigatório")</f>
        <v>24</v>
      </c>
      <c r="D2" s="10" t="n">
        <f aca="false">COUNTIFS(Criterios!$B$2:$B$286,A2,Criterios!$F$2:$F$286,"Recomendado")</f>
        <v>6</v>
      </c>
      <c r="E2" s="10" t="n">
        <f aca="false">COUNTIF(Criterios!$B$2:$B$286,A2)</f>
        <v>30</v>
      </c>
      <c r="F2" s="10" t="n">
        <f aca="false">COUNTIFS(Criterios!$B$2:$B$286,A2)-COUNTIFS(Criterios!$B$2:$B$286,A2,Criterios!$G$2:$G$286,"todas")</f>
        <v>8</v>
      </c>
      <c r="G2" s="10" t="n">
        <f aca="false">COUNTIFS(Criterios!$B$2:$B$286,A2,Criterios!$H$2:$H$286,"&lt;&gt;")</f>
        <v>0</v>
      </c>
      <c r="H2" s="10" t="n">
        <f aca="false">COUNTIFS(Criterios!$B$2:$B$286,A2,Criterios!$L$2:$L$286,"&lt;&gt;")</f>
        <v>0</v>
      </c>
      <c r="I2" s="11" t="n">
        <f aca="false">COUNTIFS(Criterios!$B$2:$B$286,A2,Criterios!$J$2:$J$286,"&lt;&gt;")</f>
        <v>4</v>
      </c>
    </row>
    <row r="3" customFormat="false" ht="15" hidden="false" customHeight="true" outlineLevel="0" collapsed="false">
      <c r="A3" s="10" t="s">
        <v>121</v>
      </c>
      <c r="B3" s="10" t="s">
        <v>122</v>
      </c>
      <c r="C3" s="10" t="n">
        <f aca="false">COUNTIFS(Criterios!$B$2:$B$286,A3,Criterios!$F$2:$F$286,"Obrigatório")</f>
        <v>24</v>
      </c>
      <c r="D3" s="10" t="n">
        <f aca="false">COUNTIFS(Criterios!$B$2:$B$286,A3,Criterios!$F$2:$F$286,"Recomendado")</f>
        <v>13</v>
      </c>
      <c r="E3" s="10" t="n">
        <f aca="false">COUNTIF(Criterios!$B$2:$B$286,A3)</f>
        <v>37</v>
      </c>
      <c r="F3" s="10" t="n">
        <f aca="false">COUNTIFS(Criterios!$B$2:$B$286,A3)-COUNTIFS(Criterios!$B$2:$B$286,A3,Criterios!$G$2:$G$286,"todas")</f>
        <v>5</v>
      </c>
      <c r="G3" s="10" t="n">
        <f aca="false">COUNTIFS(Criterios!$B$2:$B$286,A3,Criterios!$H$2:$H$286,"&lt;&gt;")</f>
        <v>6</v>
      </c>
      <c r="H3" s="10" t="n">
        <f aca="false">COUNTIFS(Criterios!$B$2:$B$286,A3,Criterios!$L$2:$L$286,"&lt;&gt;")</f>
        <v>1</v>
      </c>
      <c r="I3" s="11" t="n">
        <f aca="false">COUNTIFS(Criterios!$B$2:$B$286,A3,Criterios!$J$2:$J$286,"&lt;&gt;")</f>
        <v>3</v>
      </c>
    </row>
    <row r="4" customFormat="false" ht="15" hidden="false" customHeight="true" outlineLevel="0" collapsed="false">
      <c r="A4" s="10" t="s">
        <v>208</v>
      </c>
      <c r="B4" s="10" t="s">
        <v>209</v>
      </c>
      <c r="C4" s="10" t="n">
        <f aca="false">COUNTIFS(Criterios!$B$2:$B$286,A4,Criterios!$F$2:$F$286,"Obrigatório")</f>
        <v>31</v>
      </c>
      <c r="D4" s="10" t="n">
        <f aca="false">COUNTIFS(Criterios!$B$2:$B$286,A4,Criterios!$F$2:$F$286,"Recomendado")</f>
        <v>5</v>
      </c>
      <c r="E4" s="10" t="n">
        <f aca="false">COUNTIF(Criterios!$B$2:$B$286,A4)</f>
        <v>36</v>
      </c>
      <c r="F4" s="10" t="n">
        <f aca="false">COUNTIFS(Criterios!$B$2:$B$286,A4)-COUNTIFS(Criterios!$B$2:$B$286,A4,Criterios!$G$2:$G$286,"todas")</f>
        <v>1</v>
      </c>
      <c r="G4" s="10" t="n">
        <f aca="false">COUNTIFS(Criterios!$B$2:$B$286,A4,Criterios!$H$2:$H$286,"&lt;&gt;")</f>
        <v>0</v>
      </c>
      <c r="H4" s="10" t="n">
        <f aca="false">COUNTIFS(Criterios!$B$2:$B$286,A4,Criterios!$L$2:$L$286,"&lt;&gt;")</f>
        <v>1</v>
      </c>
      <c r="I4" s="11" t="n">
        <f aca="false">COUNTIFS(Criterios!$B$2:$B$286,A4,Criterios!$J$2:$J$286,"&lt;&gt;")</f>
        <v>2</v>
      </c>
    </row>
    <row r="5" customFormat="false" ht="15" hidden="false" customHeight="true" outlineLevel="0" collapsed="false">
      <c r="A5" s="10" t="s">
        <v>285</v>
      </c>
      <c r="B5" s="10" t="s">
        <v>286</v>
      </c>
      <c r="C5" s="10" t="n">
        <f aca="false">COUNTIFS(Criterios!$B$2:$B$286,A5,Criterios!$F$2:$F$286,"Obrigatório")</f>
        <v>19</v>
      </c>
      <c r="D5" s="10" t="n">
        <f aca="false">COUNTIFS(Criterios!$B$2:$B$286,A5,Criterios!$F$2:$F$286,"Recomendado")</f>
        <v>10</v>
      </c>
      <c r="E5" s="10" t="n">
        <f aca="false">COUNTIF(Criterios!$B$2:$B$286,A5)</f>
        <v>29</v>
      </c>
      <c r="F5" s="10" t="n">
        <f aca="false">COUNTIFS(Criterios!$B$2:$B$286,A5)-COUNTIFS(Criterios!$B$2:$B$286,A5,Criterios!$G$2:$G$286,"todas")</f>
        <v>0</v>
      </c>
      <c r="G5" s="10" t="n">
        <f aca="false">COUNTIFS(Criterios!$B$2:$B$286,A5,Criterios!$H$2:$H$286,"&lt;&gt;")</f>
        <v>5</v>
      </c>
      <c r="H5" s="10" t="n">
        <f aca="false">COUNTIFS(Criterios!$B$2:$B$286,A5,Criterios!$L$2:$L$286,"&lt;&gt;")</f>
        <v>4</v>
      </c>
      <c r="I5" s="11" t="n">
        <f aca="false">COUNTIFS(Criterios!$B$2:$B$286,A5,Criterios!$J$2:$J$286,"&lt;&gt;")</f>
        <v>0</v>
      </c>
    </row>
    <row r="6" customFormat="false" ht="15" hidden="false" customHeight="true" outlineLevel="0" collapsed="false">
      <c r="A6" s="10" t="s">
        <v>342</v>
      </c>
      <c r="B6" s="10" t="s">
        <v>343</v>
      </c>
      <c r="C6" s="10" t="n">
        <f aca="false">COUNTIFS(Criterios!$B$2:$B$286,A6,Criterios!$F$2:$F$286,"Obrigatório")</f>
        <v>3</v>
      </c>
      <c r="D6" s="10" t="n">
        <f aca="false">COUNTIFS(Criterios!$B$2:$B$286,A6,Criterios!$F$2:$F$286,"Recomendado")</f>
        <v>3</v>
      </c>
      <c r="E6" s="10" t="n">
        <f aca="false">COUNTIF(Criterios!$B$2:$B$286,A6)</f>
        <v>6</v>
      </c>
      <c r="F6" s="10" t="n">
        <f aca="false">COUNTIFS(Criterios!$B$2:$B$286,A6)-COUNTIFS(Criterios!$B$2:$B$286,A6,Criterios!$G$2:$G$286,"todas")</f>
        <v>0</v>
      </c>
      <c r="G6" s="10" t="n">
        <f aca="false">COUNTIFS(Criterios!$B$2:$B$286,A6,Criterios!$H$2:$H$286,"&lt;&gt;")</f>
        <v>0</v>
      </c>
      <c r="H6" s="10" t="n">
        <f aca="false">COUNTIFS(Criterios!$B$2:$B$286,A6,Criterios!$L$2:$L$286,"&lt;&gt;")</f>
        <v>1</v>
      </c>
      <c r="I6" s="11" t="n">
        <f aca="false">COUNTIFS(Criterios!$B$2:$B$286,A6,Criterios!$J$2:$J$286,"&lt;&gt;")</f>
        <v>0</v>
      </c>
    </row>
    <row r="7" customFormat="false" ht="15" hidden="false" customHeight="true" outlineLevel="0" collapsed="false">
      <c r="A7" s="10" t="s">
        <v>356</v>
      </c>
      <c r="B7" s="10" t="s">
        <v>343</v>
      </c>
      <c r="C7" s="10" t="n">
        <f aca="false">COUNTIFS(Criterios!$B$2:$B$286,A7,Criterios!$F$2:$F$286,"Obrigatório")</f>
        <v>11</v>
      </c>
      <c r="D7" s="10" t="n">
        <f aca="false">COUNTIFS(Criterios!$B$2:$B$286,A7,Criterios!$F$2:$F$286,"Recomendado")</f>
        <v>7</v>
      </c>
      <c r="E7" s="10" t="n">
        <f aca="false">COUNTIF(Criterios!$B$2:$B$286,A7)</f>
        <v>18</v>
      </c>
      <c r="F7" s="10" t="n">
        <f aca="false">COUNTIFS(Criterios!$B$2:$B$286,A7)-COUNTIFS(Criterios!$B$2:$B$286,A7,Criterios!$G$2:$G$286,"todas")</f>
        <v>0</v>
      </c>
      <c r="G7" s="10" t="n">
        <f aca="false">COUNTIFS(Criterios!$B$2:$B$286,A7,Criterios!$H$2:$H$286,"&lt;&gt;")</f>
        <v>0</v>
      </c>
      <c r="H7" s="10" t="n">
        <f aca="false">COUNTIFS(Criterios!$B$2:$B$286,A7,Criterios!$L$2:$L$286,"&lt;&gt;")</f>
        <v>0</v>
      </c>
      <c r="I7" s="11" t="n">
        <f aca="false">COUNTIFS(Criterios!$B$2:$B$286,A7,Criterios!$J$2:$J$286,"&lt;&gt;")</f>
        <v>2</v>
      </c>
    </row>
    <row r="8" customFormat="false" ht="15" hidden="false" customHeight="true" outlineLevel="0" collapsed="false">
      <c r="A8" s="10" t="s">
        <v>409</v>
      </c>
      <c r="B8" s="10" t="s">
        <v>410</v>
      </c>
      <c r="C8" s="10" t="n">
        <f aca="false">COUNTIFS(Criterios!$B$2:$B$286,A8,Criterios!$F$2:$F$286,"Obrigatório")</f>
        <v>16</v>
      </c>
      <c r="D8" s="10" t="n">
        <f aca="false">COUNTIFS(Criterios!$B$2:$B$286,A8,Criterios!$F$2:$F$286,"Recomendado")</f>
        <v>15</v>
      </c>
      <c r="E8" s="10" t="n">
        <f aca="false">COUNTIF(Criterios!$B$2:$B$286,A8)</f>
        <v>31</v>
      </c>
      <c r="F8" s="10" t="n">
        <f aca="false">COUNTIFS(Criterios!$B$2:$B$286,A8)-COUNTIFS(Criterios!$B$2:$B$286,A8,Criterios!$G$2:$G$286,"todas")</f>
        <v>0</v>
      </c>
      <c r="G8" s="10" t="n">
        <f aca="false">COUNTIFS(Criterios!$B$2:$B$286,A8,Criterios!$H$2:$H$286,"&lt;&gt;")</f>
        <v>0</v>
      </c>
      <c r="H8" s="10" t="n">
        <f aca="false">COUNTIFS(Criterios!$B$2:$B$286,A8,Criterios!$L$2:$L$286,"&lt;&gt;")</f>
        <v>2</v>
      </c>
      <c r="I8" s="11" t="n">
        <f aca="false">COUNTIFS(Criterios!$B$2:$B$286,A8,Criterios!$J$2:$J$286,"&lt;&gt;")</f>
        <v>4</v>
      </c>
    </row>
    <row r="9" customFormat="false" ht="15" hidden="false" customHeight="true" outlineLevel="0" collapsed="false">
      <c r="A9" s="10" t="s">
        <v>478</v>
      </c>
      <c r="B9" s="10" t="s">
        <v>479</v>
      </c>
      <c r="C9" s="10" t="n">
        <f aca="false">COUNTIFS(Criterios!$B$2:$B$286,A9,Criterios!$F$2:$F$286,"Obrigatório")</f>
        <v>23</v>
      </c>
      <c r="D9" s="10" t="n">
        <f aca="false">COUNTIFS(Criterios!$B$2:$B$286,A9,Criterios!$F$2:$F$286,"Recomendado")</f>
        <v>20</v>
      </c>
      <c r="E9" s="10" t="n">
        <f aca="false">COUNTIF(Criterios!$B$2:$B$286,A9)</f>
        <v>43</v>
      </c>
      <c r="F9" s="10" t="n">
        <f aca="false">COUNTIFS(Criterios!$B$2:$B$286,A9)-COUNTIFS(Criterios!$B$2:$B$286,A9,Criterios!$G$2:$G$286,"todas")</f>
        <v>2</v>
      </c>
      <c r="G9" s="10" t="n">
        <f aca="false">COUNTIFS(Criterios!$B$2:$B$286,A9,Criterios!$H$2:$H$286,"&lt;&gt;")</f>
        <v>0</v>
      </c>
      <c r="H9" s="10" t="n">
        <f aca="false">COUNTIFS(Criterios!$B$2:$B$286,A9,Criterios!$L$2:$L$286,"&lt;&gt;")</f>
        <v>1</v>
      </c>
      <c r="I9" s="11" t="n">
        <f aca="false">COUNTIFS(Criterios!$B$2:$B$286,A9,Criterios!$J$2:$J$286,"&lt;&gt;")</f>
        <v>5</v>
      </c>
    </row>
    <row r="10" customFormat="false" ht="15" hidden="false" customHeight="true" outlineLevel="0" collapsed="false">
      <c r="A10" s="10" t="s">
        <v>554</v>
      </c>
      <c r="B10" s="10" t="s">
        <v>555</v>
      </c>
      <c r="C10" s="10" t="n">
        <f aca="false">COUNTIFS(Criterios!$B$2:$B$286,A10,Criterios!$F$2:$F$286,"Obrigatório")</f>
        <v>13</v>
      </c>
      <c r="D10" s="10" t="n">
        <f aca="false">COUNTIFS(Criterios!$B$2:$B$286,A10,Criterios!$F$2:$F$286,"Recomendado")</f>
        <v>9</v>
      </c>
      <c r="E10" s="10" t="n">
        <f aca="false">COUNTIF(Criterios!$B$2:$B$286,A10)</f>
        <v>22</v>
      </c>
      <c r="F10" s="10" t="n">
        <f aca="false">COUNTIFS(Criterios!$B$2:$B$286,A10)-COUNTIFS(Criterios!$B$2:$B$286,A10,Criterios!$G$2:$G$286,"todas")</f>
        <v>1</v>
      </c>
      <c r="G10" s="10" t="n">
        <f aca="false">COUNTIFS(Criterios!$B$2:$B$286,A10,Criterios!$H$2:$H$286,"&lt;&gt;")</f>
        <v>0</v>
      </c>
      <c r="H10" s="10" t="n">
        <f aca="false">COUNTIFS(Criterios!$B$2:$B$286,A10,Criterios!$L$2:$L$286,"&lt;&gt;")</f>
        <v>0</v>
      </c>
      <c r="I10" s="11" t="n">
        <f aca="false">COUNTIFS(Criterios!$B$2:$B$286,A10,Criterios!$J$2:$J$286,"&lt;&gt;")</f>
        <v>1</v>
      </c>
    </row>
    <row r="11" customFormat="false" ht="15" hidden="false" customHeight="true" outlineLevel="0" collapsed="false">
      <c r="A11" s="10" t="s">
        <v>594</v>
      </c>
      <c r="B11" s="10" t="s">
        <v>595</v>
      </c>
      <c r="C11" s="10" t="n">
        <f aca="false">COUNTIFS(Criterios!$B$2:$B$286,A11,Criterios!$F$2:$F$286,"Obrigatório")</f>
        <v>16</v>
      </c>
      <c r="D11" s="10" t="n">
        <f aca="false">COUNTIFS(Criterios!$B$2:$B$286,A11,Criterios!$F$2:$F$286,"Recomendado")</f>
        <v>2</v>
      </c>
      <c r="E11" s="10" t="n">
        <f aca="false">COUNTIF(Criterios!$B$2:$B$286,A11)</f>
        <v>18</v>
      </c>
      <c r="F11" s="10" t="n">
        <f aca="false">COUNTIFS(Criterios!$B$2:$B$286,A11)-COUNTIFS(Criterios!$B$2:$B$286,A11,Criterios!$G$2:$G$286,"todas")</f>
        <v>2</v>
      </c>
      <c r="G11" s="10" t="n">
        <f aca="false">COUNTIFS(Criterios!$B$2:$B$286,A11,Criterios!$H$2:$H$286,"&lt;&gt;")</f>
        <v>0</v>
      </c>
      <c r="H11" s="10" t="n">
        <f aca="false">COUNTIFS(Criterios!$B$2:$B$286,A11,Criterios!$L$2:$L$286,"&lt;&gt;")</f>
        <v>0</v>
      </c>
      <c r="I11" s="11" t="n">
        <f aca="false">COUNTIFS(Criterios!$B$2:$B$286,A11,Criterios!$J$2:$J$286,"&lt;&gt;")</f>
        <v>3</v>
      </c>
    </row>
    <row r="12" customFormat="false" ht="15" hidden="false" customHeight="true" outlineLevel="0" collapsed="false">
      <c r="A12" s="10" t="s">
        <v>627</v>
      </c>
      <c r="B12" s="10" t="s">
        <v>628</v>
      </c>
      <c r="C12" s="10" t="n">
        <f aca="false">COUNTIFS(Criterios!$B$2:$B$286,A12,Criterios!$F$2:$F$286,"Obrigatório")</f>
        <v>13</v>
      </c>
      <c r="D12" s="10" t="n">
        <f aca="false">COUNTIFS(Criterios!$B$2:$B$286,A12,Criterios!$F$2:$F$286,"Recomendado")</f>
        <v>2</v>
      </c>
      <c r="E12" s="10" t="n">
        <f aca="false">COUNTIF(Criterios!$B$2:$B$286,A12)</f>
        <v>15</v>
      </c>
      <c r="F12" s="10" t="n">
        <f aca="false">COUNTIFS(Criterios!$B$2:$B$286,A12)-COUNTIFS(Criterios!$B$2:$B$286,A12,Criterios!$G$2:$G$286,"todas")</f>
        <v>0</v>
      </c>
      <c r="G12" s="10" t="n">
        <f aca="false">COUNTIFS(Criterios!$B$2:$B$286,A12,Criterios!$H$2:$H$286,"&lt;&gt;")</f>
        <v>0</v>
      </c>
      <c r="H12" s="10" t="n">
        <f aca="false">COUNTIFS(Criterios!$B$2:$B$286,A12,Criterios!$L$2:$L$286,"&lt;&gt;")</f>
        <v>0</v>
      </c>
      <c r="I12" s="11" t="n">
        <f aca="false">COUNTIFS(Criterios!$B$2:$B$286,A12,Criterios!$J$2:$J$286,"&lt;&gt;")</f>
        <v>1</v>
      </c>
    </row>
    <row r="13" customFormat="false" ht="15" hidden="false" customHeight="true" outlineLevel="0" collapsed="false">
      <c r="A13" s="12" t="s">
        <v>656</v>
      </c>
      <c r="B13" s="12"/>
      <c r="C13" s="12" t="n">
        <f aca="false">SUM(C2:C12)</f>
        <v>193</v>
      </c>
      <c r="D13" s="12" t="n">
        <f aca="false">SUM(D2:D12)</f>
        <v>92</v>
      </c>
      <c r="E13" s="12" t="n">
        <f aca="false">SUM(E2:E12)</f>
        <v>285</v>
      </c>
      <c r="F13" s="12" t="n">
        <f aca="false">SUM(F2:F12)</f>
        <v>19</v>
      </c>
      <c r="G13" s="12" t="n">
        <f aca="false">SUM(G2:G12)</f>
        <v>11</v>
      </c>
      <c r="H13" s="12" t="n">
        <f aca="false">SUM(H2:H12)</f>
        <v>10</v>
      </c>
      <c r="I13" s="13" t="n">
        <f aca="false">SUM(I2:I12)</f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8"/>
  </cols>
  <sheetData>
    <row r="1" customFormat="false" ht="15" hidden="false" customHeight="true" outlineLevel="0" collapsed="false">
      <c r="A1" s="14" t="s">
        <v>657</v>
      </c>
    </row>
    <row r="2" customFormat="false" ht="15" hidden="false" customHeight="true" outlineLevel="0" collapsed="false">
      <c r="A2" s="15"/>
    </row>
    <row r="3" customFormat="false" ht="15" hidden="false" customHeight="true" outlineLevel="0" collapsed="false">
      <c r="A3" s="15" t="s">
        <v>658</v>
      </c>
    </row>
    <row r="4" customFormat="false" ht="15" hidden="false" customHeight="true" outlineLevel="0" collapsed="false">
      <c r="A4" s="15" t="s">
        <v>659</v>
      </c>
    </row>
    <row r="5" customFormat="false" ht="15" hidden="false" customHeight="true" outlineLevel="0" collapsed="false">
      <c r="A5" s="15"/>
    </row>
    <row r="6" customFormat="false" ht="15" hidden="false" customHeight="true" outlineLevel="0" collapsed="false">
      <c r="A6" s="14" t="s">
        <v>660</v>
      </c>
    </row>
    <row r="7" customFormat="false" ht="15" hidden="false" customHeight="true" outlineLevel="0" collapsed="false">
      <c r="A7" s="15" t="s">
        <v>661</v>
      </c>
    </row>
    <row r="8" customFormat="false" ht="15" hidden="false" customHeight="true" outlineLevel="0" collapsed="false">
      <c r="A8" s="15" t="s">
        <v>662</v>
      </c>
    </row>
    <row r="9" customFormat="false" ht="15" hidden="false" customHeight="true" outlineLevel="0" collapsed="false">
      <c r="A9" s="15" t="s">
        <v>663</v>
      </c>
    </row>
    <row r="10" customFormat="false" ht="15" hidden="false" customHeight="true" outlineLevel="0" collapsed="false">
      <c r="A10" s="15" t="s">
        <v>664</v>
      </c>
    </row>
    <row r="11" customFormat="false" ht="15" hidden="false" customHeight="true" outlineLevel="0" collapsed="false">
      <c r="A11" s="15" t="s">
        <v>665</v>
      </c>
    </row>
    <row r="12" customFormat="false" ht="15" hidden="false" customHeight="true" outlineLevel="0" collapsed="false">
      <c r="A12" s="15" t="s">
        <v>666</v>
      </c>
    </row>
    <row r="13" customFormat="false" ht="15" hidden="false" customHeight="true" outlineLevel="0" collapsed="false">
      <c r="A13" s="15"/>
    </row>
    <row r="14" customFormat="false" ht="15" hidden="false" customHeight="true" outlineLevel="0" collapsed="false">
      <c r="A14" s="14" t="s">
        <v>667</v>
      </c>
    </row>
    <row r="15" customFormat="false" ht="15" hidden="false" customHeight="true" outlineLevel="0" collapsed="false">
      <c r="A15" s="15" t="s">
        <v>668</v>
      </c>
    </row>
    <row r="16" customFormat="false" ht="15" hidden="false" customHeight="true" outlineLevel="0" collapsed="false">
      <c r="A16" s="15" t="s">
        <v>669</v>
      </c>
    </row>
    <row r="17" customFormat="false" ht="15" hidden="false" customHeight="true" outlineLevel="0" collapsed="false">
      <c r="A17" s="15" t="s">
        <v>670</v>
      </c>
    </row>
    <row r="18" customFormat="false" ht="15" hidden="false" customHeight="true" outlineLevel="0" collapsed="false">
      <c r="A18" s="15"/>
    </row>
    <row r="19" customFormat="false" ht="15" hidden="false" customHeight="true" outlineLevel="0" collapsed="false">
      <c r="A19" s="14" t="s">
        <v>671</v>
      </c>
    </row>
    <row r="20" customFormat="false" ht="15" hidden="false" customHeight="true" outlineLevel="0" collapsed="false">
      <c r="A20" s="15" t="s">
        <v>672</v>
      </c>
    </row>
    <row r="21" customFormat="false" ht="15" hidden="false" customHeight="true" outlineLevel="0" collapsed="false">
      <c r="A21" s="15" t="s">
        <v>673</v>
      </c>
    </row>
    <row r="22" customFormat="false" ht="15" hidden="false" customHeight="true" outlineLevel="0" collapsed="false">
      <c r="A22" s="15" t="s">
        <v>674</v>
      </c>
    </row>
    <row r="23" customFormat="false" ht="15" hidden="false" customHeight="true" outlineLevel="0" collapsed="false">
      <c r="A23" s="15" t="s">
        <v>675</v>
      </c>
    </row>
    <row r="24" customFormat="false" ht="15" hidden="false" customHeight="true" outlineLevel="0" collapsed="false">
      <c r="A24" s="15" t="s">
        <v>676</v>
      </c>
    </row>
    <row r="25" customFormat="false" ht="15" hidden="false" customHeight="true" outlineLevel="0" collapsed="false">
      <c r="A25" s="15" t="s">
        <v>677</v>
      </c>
    </row>
    <row r="26" customFormat="false" ht="15" hidden="false" customHeight="true" outlineLevel="0" collapsed="false">
      <c r="A26" s="15"/>
    </row>
    <row r="27" customFormat="false" ht="15" hidden="false" customHeight="true" outlineLevel="0" collapsed="false">
      <c r="A27" s="15" t="s">
        <v>678</v>
      </c>
    </row>
    <row r="28" customFormat="false" ht="15" hidden="false" customHeight="true" outlineLevel="0" collapsed="false">
      <c r="A28" s="15"/>
    </row>
    <row r="29" customFormat="false" ht="15" hidden="false" customHeight="true" outlineLevel="0" collapsed="false">
      <c r="A29" s="14" t="s">
        <v>679</v>
      </c>
    </row>
    <row r="30" customFormat="false" ht="15" hidden="false" customHeight="true" outlineLevel="0" collapsed="false">
      <c r="A30" s="15" t="s">
        <v>680</v>
      </c>
    </row>
    <row r="31" customFormat="false" ht="15" hidden="false" customHeight="true" outlineLevel="0" collapsed="false">
      <c r="A31" s="15" t="s">
        <v>681</v>
      </c>
    </row>
    <row r="32" customFormat="false" ht="15" hidden="false" customHeight="true" outlineLevel="0" collapsed="false">
      <c r="A32" s="15" t="s">
        <v>682</v>
      </c>
    </row>
    <row r="33" customFormat="false" ht="15" hidden="false" customHeight="true" outlineLevel="0" collapsed="false">
      <c r="A33" s="15" t="s">
        <v>683</v>
      </c>
    </row>
    <row r="34" customFormat="false" ht="15" hidden="false" customHeight="false" outlineLevel="0" collapsed="false">
      <c r="A34" s="16"/>
    </row>
    <row r="35" customFormat="false" ht="15" hidden="false" customHeight="false" outlineLevel="0" collapsed="false">
      <c r="A35" s="17" t="s">
        <v>684</v>
      </c>
    </row>
    <row r="36" customFormat="false" ht="15" hidden="false" customHeight="false" outlineLevel="0" collapsed="false">
      <c r="A36" s="16" t="s">
        <v>685</v>
      </c>
    </row>
    <row r="37" customFormat="false" ht="15" hidden="false" customHeight="false" outlineLevel="0" collapsed="false">
      <c r="A37" s="16" t="s">
        <v>686</v>
      </c>
    </row>
    <row r="38" customFormat="false" ht="15" hidden="false" customHeight="false" outlineLevel="0" collapsed="false">
      <c r="A38" s="16" t="s">
        <v>687</v>
      </c>
    </row>
    <row r="39" customFormat="false" ht="15" hidden="false" customHeight="false" outlineLevel="0" collapsed="false">
      <c r="A39" s="16" t="s">
        <v>688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2"/>
    <col collapsed="false" customWidth="true" hidden="false" outlineLevel="0" max="3" min="3" style="1" width="24"/>
    <col collapsed="false" customWidth="true" hidden="false" outlineLevel="0" max="4" min="4" style="1" width="22"/>
    <col collapsed="false" customWidth="true" hidden="false" outlineLevel="0" max="5" min="5" style="1" width="46"/>
    <col collapsed="false" customWidth="true" hidden="false" outlineLevel="0" max="6" min="6" style="1" width="42"/>
    <col collapsed="false" customWidth="true" hidden="false" outlineLevel="0" max="7" min="7" style="1" width="44"/>
  </cols>
  <sheetData>
    <row r="1" customFormat="false" ht="30" hidden="false" customHeight="true" outlineLevel="0" collapsed="false">
      <c r="A1" s="9" t="s">
        <v>2</v>
      </c>
      <c r="B1" s="9" t="s">
        <v>1</v>
      </c>
      <c r="C1" s="9" t="s">
        <v>3</v>
      </c>
      <c r="D1" s="9" t="s">
        <v>689</v>
      </c>
      <c r="E1" s="9" t="s">
        <v>690</v>
      </c>
      <c r="F1" s="9" t="s">
        <v>691</v>
      </c>
      <c r="G1" s="9" t="s">
        <v>692</v>
      </c>
    </row>
    <row r="2" customFormat="false" ht="21.75" hidden="false" customHeight="true" outlineLevel="0" collapsed="false">
      <c r="A2" s="3" t="s">
        <v>122</v>
      </c>
      <c r="B2" s="3" t="s">
        <v>121</v>
      </c>
      <c r="C2" s="3" t="s">
        <v>36</v>
      </c>
      <c r="D2" s="3" t="s">
        <v>693</v>
      </c>
      <c r="E2" s="3" t="s">
        <v>694</v>
      </c>
      <c r="F2" s="3" t="s">
        <v>695</v>
      </c>
      <c r="G2" s="18" t="s">
        <v>696</v>
      </c>
    </row>
    <row r="3" customFormat="false" ht="21.75" hidden="false" customHeight="true" outlineLevel="0" collapsed="false">
      <c r="A3" s="3" t="s">
        <v>286</v>
      </c>
      <c r="B3" s="3" t="s">
        <v>285</v>
      </c>
      <c r="C3" s="3" t="s">
        <v>55</v>
      </c>
      <c r="D3" s="3" t="s">
        <v>697</v>
      </c>
      <c r="E3" s="3" t="s">
        <v>698</v>
      </c>
      <c r="F3" s="3" t="s">
        <v>699</v>
      </c>
      <c r="G3" s="18" t="s">
        <v>700</v>
      </c>
    </row>
    <row r="4" customFormat="false" ht="21.75" hidden="false" customHeight="true" outlineLevel="0" collapsed="false">
      <c r="A4" s="3" t="s">
        <v>286</v>
      </c>
      <c r="B4" s="3" t="s">
        <v>285</v>
      </c>
      <c r="C4" s="3" t="s">
        <v>33</v>
      </c>
      <c r="D4" s="3" t="s">
        <v>701</v>
      </c>
      <c r="E4" s="3" t="s">
        <v>702</v>
      </c>
      <c r="F4" s="3" t="s">
        <v>703</v>
      </c>
      <c r="G4" s="18" t="s">
        <v>704</v>
      </c>
    </row>
    <row r="5" customFormat="false" ht="21.75" hidden="false" customHeight="true" outlineLevel="0" collapsed="false">
      <c r="A5" s="3" t="s">
        <v>286</v>
      </c>
      <c r="B5" s="3" t="s">
        <v>285</v>
      </c>
      <c r="C5" s="3" t="s">
        <v>84</v>
      </c>
      <c r="D5" s="3" t="s">
        <v>705</v>
      </c>
      <c r="E5" s="3" t="s">
        <v>317</v>
      </c>
      <c r="F5" s="3" t="s">
        <v>703</v>
      </c>
      <c r="G5" s="18" t="s">
        <v>706</v>
      </c>
    </row>
    <row r="6" customFormat="false" ht="21.75" hidden="false" customHeight="true" outlineLevel="0" collapsed="false">
      <c r="A6" s="3" t="s">
        <v>286</v>
      </c>
      <c r="B6" s="3" t="s">
        <v>285</v>
      </c>
      <c r="C6" s="3" t="s">
        <v>97</v>
      </c>
      <c r="D6" s="3" t="s">
        <v>707</v>
      </c>
      <c r="E6" s="3" t="s">
        <v>708</v>
      </c>
      <c r="F6" s="3" t="s">
        <v>703</v>
      </c>
      <c r="G6" s="18" t="s">
        <v>704</v>
      </c>
    </row>
    <row r="7" customFormat="false" ht="21.75" hidden="false" customHeight="true" outlineLevel="0" collapsed="false">
      <c r="A7" s="3" t="s">
        <v>286</v>
      </c>
      <c r="B7" s="3" t="s">
        <v>285</v>
      </c>
      <c r="C7" s="3" t="s">
        <v>709</v>
      </c>
      <c r="D7" s="3" t="s">
        <v>710</v>
      </c>
      <c r="E7" s="3" t="s">
        <v>711</v>
      </c>
      <c r="F7" s="3" t="s">
        <v>712</v>
      </c>
      <c r="G7" s="18" t="s">
        <v>713</v>
      </c>
    </row>
    <row r="8" customFormat="false" ht="15" hidden="false" customHeight="true" outlineLevel="0" collapsed="false">
      <c r="A8" s="3" t="s">
        <v>343</v>
      </c>
      <c r="B8" s="3" t="s">
        <v>342</v>
      </c>
      <c r="C8" s="3" t="s">
        <v>100</v>
      </c>
      <c r="D8" s="3" t="s">
        <v>714</v>
      </c>
      <c r="E8" s="3" t="s">
        <v>715</v>
      </c>
      <c r="F8" s="3" t="s">
        <v>716</v>
      </c>
      <c r="G8" s="18" t="s">
        <v>717</v>
      </c>
    </row>
    <row r="9" customFormat="false" ht="21.75" hidden="false" customHeight="true" outlineLevel="0" collapsed="false">
      <c r="A9" s="3" t="s">
        <v>410</v>
      </c>
      <c r="B9" s="3" t="s">
        <v>409</v>
      </c>
      <c r="C9" s="3" t="s">
        <v>718</v>
      </c>
      <c r="D9" s="3" t="s">
        <v>719</v>
      </c>
      <c r="E9" s="3" t="s">
        <v>720</v>
      </c>
      <c r="F9" s="3" t="s">
        <v>721</v>
      </c>
      <c r="G9" s="18" t="s">
        <v>722</v>
      </c>
    </row>
    <row r="10" customFormat="false" ht="21.75" hidden="false" customHeight="true" outlineLevel="0" collapsed="false">
      <c r="A10" s="3" t="s">
        <v>479</v>
      </c>
      <c r="B10" s="3" t="s">
        <v>723</v>
      </c>
      <c r="C10" s="3" t="s">
        <v>68</v>
      </c>
      <c r="D10" s="3" t="s">
        <v>724</v>
      </c>
      <c r="E10" s="3" t="s">
        <v>725</v>
      </c>
      <c r="F10" s="3" t="s">
        <v>726</v>
      </c>
      <c r="G10" s="18" t="s">
        <v>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30"/>
    <col collapsed="false" customWidth="true" hidden="false" outlineLevel="0" max="4" min="3" style="1" width="62"/>
  </cols>
  <sheetData>
    <row r="1" customFormat="false" ht="30" hidden="false" customHeight="true" outlineLevel="0" collapsed="false">
      <c r="A1" s="9" t="s">
        <v>728</v>
      </c>
      <c r="B1" s="9" t="s">
        <v>729</v>
      </c>
      <c r="C1" s="9" t="s">
        <v>730</v>
      </c>
      <c r="D1" s="9" t="s">
        <v>731</v>
      </c>
    </row>
    <row r="2" customFormat="false" ht="21.75" hidden="false" customHeight="true" outlineLevel="0" collapsed="false">
      <c r="A2" s="3" t="s">
        <v>732</v>
      </c>
      <c r="B2" s="3" t="s">
        <v>733</v>
      </c>
      <c r="C2" s="3" t="s">
        <v>734</v>
      </c>
      <c r="D2" s="3" t="s">
        <v>735</v>
      </c>
    </row>
    <row r="3" customFormat="false" ht="32.25" hidden="false" customHeight="true" outlineLevel="0" collapsed="false">
      <c r="A3" s="3" t="s">
        <v>736</v>
      </c>
      <c r="B3" s="3" t="s">
        <v>737</v>
      </c>
      <c r="C3" s="3" t="s">
        <v>738</v>
      </c>
      <c r="D3" s="3" t="s">
        <v>739</v>
      </c>
    </row>
    <row r="4" customFormat="false" ht="21.75" hidden="false" customHeight="true" outlineLevel="0" collapsed="false">
      <c r="A4" s="3" t="s">
        <v>740</v>
      </c>
      <c r="B4" s="3" t="s">
        <v>741</v>
      </c>
      <c r="C4" s="3" t="s">
        <v>742</v>
      </c>
      <c r="D4" s="3" t="s">
        <v>743</v>
      </c>
    </row>
    <row r="5" customFormat="false" ht="21.75" hidden="false" customHeight="true" outlineLevel="0" collapsed="false">
      <c r="A5" s="3" t="s">
        <v>744</v>
      </c>
      <c r="B5" s="3" t="s">
        <v>745</v>
      </c>
      <c r="C5" s="3" t="s">
        <v>746</v>
      </c>
      <c r="D5" s="3" t="s">
        <v>747</v>
      </c>
    </row>
    <row r="6" customFormat="false" ht="32.25" hidden="false" customHeight="true" outlineLevel="0" collapsed="false">
      <c r="A6" s="3" t="s">
        <v>748</v>
      </c>
      <c r="B6" s="3" t="s">
        <v>749</v>
      </c>
      <c r="C6" s="3" t="s">
        <v>750</v>
      </c>
      <c r="D6" s="3" t="s">
        <v>751</v>
      </c>
    </row>
    <row r="7" customFormat="false" ht="32.25" hidden="false" customHeight="true" outlineLevel="0" collapsed="false">
      <c r="A7" s="3" t="s">
        <v>752</v>
      </c>
      <c r="B7" s="3" t="s">
        <v>753</v>
      </c>
      <c r="C7" s="3" t="s">
        <v>754</v>
      </c>
      <c r="D7" s="3" t="s">
        <v>755</v>
      </c>
    </row>
    <row r="8" customFormat="false" ht="21.75" hidden="false" customHeight="true" outlineLevel="0" collapsed="false">
      <c r="A8" s="3" t="s">
        <v>756</v>
      </c>
      <c r="B8" s="3" t="s">
        <v>757</v>
      </c>
      <c r="C8" s="3" t="s">
        <v>758</v>
      </c>
      <c r="D8" s="3" t="s">
        <v>759</v>
      </c>
    </row>
    <row r="9" customFormat="false" ht="21.75" hidden="false" customHeight="true" outlineLevel="0" collapsed="false">
      <c r="A9" s="3" t="s">
        <v>760</v>
      </c>
      <c r="B9" s="3" t="s">
        <v>761</v>
      </c>
      <c r="C9" s="3" t="s">
        <v>762</v>
      </c>
      <c r="D9" s="3" t="s">
        <v>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2026-08-31T04:12:01Z</dcterms:created>
  <dc:creator>openpyxl</dc:creator>
  <dc:description/>
  <dc:language>en-US</dc:language>
  <cp:lastModifiedBy/>
  <dcterms:modified xsi:type="dcterms:W3CDTF">2026-08-31T04:38:09Z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